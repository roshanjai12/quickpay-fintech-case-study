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sha\OneDrive\Desktop\quickpay-fintech-case-study\02_spreadsheet\"/>
    </mc:Choice>
  </mc:AlternateContent>
  <xr:revisionPtr revIDLastSave="0" documentId="13_ncr:1_{466127F2-0B78-4D2C-B5EF-D3D5C01EE39F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transactions_raw" sheetId="1" r:id="rId1"/>
    <sheet name="cleaned_transactions" sheetId="2" r:id="rId2"/>
    <sheet name="exchange_rates" sheetId="3" r:id="rId3"/>
    <sheet name="merchant_ma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5" i="4"/>
  <c r="C4" i="4"/>
  <c r="C3" i="4"/>
  <c r="C2" i="4"/>
  <c r="Q31" i="2"/>
  <c r="P31" i="2"/>
  <c r="M31" i="2"/>
  <c r="I31" i="2"/>
  <c r="E31" i="2"/>
  <c r="U31" i="2" s="1" a="1"/>
  <c r="U31" i="2" s="1"/>
  <c r="T30" i="2" a="1"/>
  <c r="T30" i="2" s="1"/>
  <c r="S30" i="2" a="1"/>
  <c r="S30" i="2" s="1"/>
  <c r="R30" i="2" a="1"/>
  <c r="R30" i="2" s="1"/>
  <c r="Q30" i="2"/>
  <c r="P30" i="2"/>
  <c r="M30" i="2"/>
  <c r="V30" i="2" s="1"/>
  <c r="K30" i="2"/>
  <c r="I30" i="2"/>
  <c r="E30" i="2"/>
  <c r="U30" i="2" s="1" a="1"/>
  <c r="U30" i="2" s="1"/>
  <c r="Q29" i="2"/>
  <c r="P29" i="2"/>
  <c r="M29" i="2"/>
  <c r="K29" i="2"/>
  <c r="I29" i="2"/>
  <c r="E29" i="2"/>
  <c r="T29" i="2" s="1" a="1"/>
  <c r="T29" i="2" s="1"/>
  <c r="U28" i="2" a="1"/>
  <c r="U28" i="2" s="1"/>
  <c r="T28" i="2" a="1"/>
  <c r="T28" i="2" s="1"/>
  <c r="S28" i="2" a="1"/>
  <c r="S28" i="2" s="1"/>
  <c r="R28" i="2" a="1"/>
  <c r="R28" i="2"/>
  <c r="Q28" i="2"/>
  <c r="P28" i="2"/>
  <c r="M28" i="2"/>
  <c r="V28" i="2" s="1"/>
  <c r="I28" i="2"/>
  <c r="E28" i="2"/>
  <c r="Q27" i="2"/>
  <c r="P27" i="2"/>
  <c r="M27" i="2"/>
  <c r="V27" i="2" s="1"/>
  <c r="I27" i="2"/>
  <c r="E27" i="2"/>
  <c r="U27" i="2" s="1" a="1"/>
  <c r="U27" i="2" s="1"/>
  <c r="Q26" i="2"/>
  <c r="P26" i="2"/>
  <c r="M26" i="2"/>
  <c r="V26" i="2" s="1"/>
  <c r="I26" i="2"/>
  <c r="E26" i="2"/>
  <c r="U26" i="2" s="1" a="1"/>
  <c r="U26" i="2" s="1"/>
  <c r="Q25" i="2"/>
  <c r="P25" i="2"/>
  <c r="M25" i="2"/>
  <c r="V25" i="2" s="1"/>
  <c r="K25" i="2"/>
  <c r="I25" i="2"/>
  <c r="E25" i="2"/>
  <c r="T25" i="2" s="1" a="1"/>
  <c r="T25" i="2" s="1"/>
  <c r="Q24" i="2"/>
  <c r="P24" i="2"/>
  <c r="M24" i="2"/>
  <c r="V24" i="2" s="1"/>
  <c r="I24" i="2"/>
  <c r="E24" i="2"/>
  <c r="S24" i="2" s="1" a="1"/>
  <c r="S24" i="2" s="1"/>
  <c r="U23" i="2" a="1"/>
  <c r="U23" i="2" s="1"/>
  <c r="T23" i="2" a="1"/>
  <c r="T23" i="2"/>
  <c r="Q23" i="2"/>
  <c r="V23" i="2" s="1"/>
  <c r="P23" i="2"/>
  <c r="M23" i="2"/>
  <c r="I23" i="2"/>
  <c r="W23" i="2" s="1"/>
  <c r="E23" i="2"/>
  <c r="S23" i="2" s="1" a="1"/>
  <c r="S23" i="2" s="1"/>
  <c r="U22" i="2" a="1"/>
  <c r="U22" i="2" s="1"/>
  <c r="T22" i="2" a="1"/>
  <c r="T22" i="2" s="1"/>
  <c r="S22" i="2" a="1"/>
  <c r="S22" i="2"/>
  <c r="R22" i="2" a="1"/>
  <c r="R22" i="2"/>
  <c r="Q22" i="2"/>
  <c r="P22" i="2"/>
  <c r="M22" i="2"/>
  <c r="V22" i="2" s="1"/>
  <c r="K22" i="2"/>
  <c r="I22" i="2"/>
  <c r="E22" i="2"/>
  <c r="Q21" i="2"/>
  <c r="P21" i="2"/>
  <c r="M21" i="2"/>
  <c r="V21" i="2" s="1"/>
  <c r="I21" i="2"/>
  <c r="E21" i="2"/>
  <c r="U21" i="2" s="1" a="1"/>
  <c r="U21" i="2" s="1"/>
  <c r="Q20" i="2"/>
  <c r="P20" i="2"/>
  <c r="M20" i="2"/>
  <c r="V20" i="2" s="1"/>
  <c r="K20" i="2"/>
  <c r="I20" i="2"/>
  <c r="E20" i="2"/>
  <c r="U20" i="2" s="1" a="1"/>
  <c r="U20" i="2" s="1"/>
  <c r="U19" i="2" a="1"/>
  <c r="U19" i="2"/>
  <c r="Q19" i="2"/>
  <c r="V19" i="2" s="1"/>
  <c r="P19" i="2"/>
  <c r="M19" i="2"/>
  <c r="K19" i="2"/>
  <c r="I19" i="2"/>
  <c r="E19" i="2"/>
  <c r="T19" i="2" s="1" a="1"/>
  <c r="T19" i="2" s="1"/>
  <c r="Q18" i="2"/>
  <c r="P18" i="2"/>
  <c r="M18" i="2"/>
  <c r="V18" i="2" s="1"/>
  <c r="K18" i="2"/>
  <c r="I18" i="2"/>
  <c r="E18" i="2"/>
  <c r="R18" i="2" s="1" a="1"/>
  <c r="R18" i="2" s="1"/>
  <c r="V17" i="2"/>
  <c r="Q17" i="2"/>
  <c r="P17" i="2"/>
  <c r="M17" i="2"/>
  <c r="K17" i="2"/>
  <c r="I17" i="2"/>
  <c r="E17" i="2"/>
  <c r="U17" i="2" s="1" a="1"/>
  <c r="U17" i="2" s="1"/>
  <c r="U16" i="2" a="1"/>
  <c r="U16" i="2"/>
  <c r="T16" i="2" a="1"/>
  <c r="T16" i="2"/>
  <c r="S16" i="2" a="1"/>
  <c r="S16" i="2"/>
  <c r="Q16" i="2"/>
  <c r="P16" i="2"/>
  <c r="M16" i="2"/>
  <c r="V16" i="2" s="1"/>
  <c r="K16" i="2"/>
  <c r="I16" i="2"/>
  <c r="E16" i="2"/>
  <c r="R16" i="2" s="1" a="1"/>
  <c r="R16" i="2" s="1"/>
  <c r="Q15" i="2"/>
  <c r="P15" i="2"/>
  <c r="M15" i="2"/>
  <c r="V15" i="2" s="1"/>
  <c r="K15" i="2"/>
  <c r="I15" i="2"/>
  <c r="E15" i="2"/>
  <c r="R15" i="2" s="1" a="1"/>
  <c r="R15" i="2" s="1"/>
  <c r="Q14" i="2"/>
  <c r="P14" i="2"/>
  <c r="M14" i="2"/>
  <c r="V14" i="2" s="1"/>
  <c r="K14" i="2"/>
  <c r="I14" i="2"/>
  <c r="E14" i="2"/>
  <c r="U14" i="2" s="1" a="1"/>
  <c r="U14" i="2" s="1"/>
  <c r="Q13" i="2"/>
  <c r="P13" i="2"/>
  <c r="M13" i="2"/>
  <c r="V13" i="2" s="1"/>
  <c r="K13" i="2"/>
  <c r="I13" i="2"/>
  <c r="E13" i="2"/>
  <c r="U13" i="2" s="1" a="1"/>
  <c r="U13" i="2" s="1"/>
  <c r="Q12" i="2"/>
  <c r="P12" i="2"/>
  <c r="M12" i="2"/>
  <c r="V12" i="2" s="1"/>
  <c r="K12" i="2"/>
  <c r="I12" i="2"/>
  <c r="E12" i="2"/>
  <c r="S12" i="2" s="1" a="1"/>
  <c r="S12" i="2" s="1"/>
  <c r="V11" i="2"/>
  <c r="Q11" i="2"/>
  <c r="P11" i="2"/>
  <c r="M11" i="2"/>
  <c r="K11" i="2"/>
  <c r="I11" i="2"/>
  <c r="E11" i="2"/>
  <c r="R11" i="2" s="1" a="1"/>
  <c r="R11" i="2" s="1"/>
  <c r="U10" i="2" a="1"/>
  <c r="U10" i="2"/>
  <c r="T10" i="2" a="1"/>
  <c r="T10" i="2"/>
  <c r="S10" i="2" a="1"/>
  <c r="S10" i="2" s="1"/>
  <c r="R10" i="2" a="1"/>
  <c r="R10" i="2" s="1"/>
  <c r="Q10" i="2"/>
  <c r="P10" i="2"/>
  <c r="M10" i="2"/>
  <c r="I10" i="2"/>
  <c r="E10" i="2"/>
  <c r="Q9" i="2"/>
  <c r="P9" i="2"/>
  <c r="M9" i="2"/>
  <c r="V9" i="2" s="1"/>
  <c r="I9" i="2"/>
  <c r="E9" i="2"/>
  <c r="T9" i="2" s="1" a="1"/>
  <c r="T9" i="2" s="1"/>
  <c r="Q8" i="2"/>
  <c r="P8" i="2"/>
  <c r="M8" i="2"/>
  <c r="V8" i="2" s="1"/>
  <c r="K8" i="2"/>
  <c r="I8" i="2"/>
  <c r="E8" i="2"/>
  <c r="R8" i="2" s="1" a="1"/>
  <c r="R8" i="2" s="1"/>
  <c r="Q7" i="2"/>
  <c r="P7" i="2"/>
  <c r="M7" i="2"/>
  <c r="V7" i="2" s="1"/>
  <c r="K7" i="2"/>
  <c r="I7" i="2"/>
  <c r="E7" i="2"/>
  <c r="U7" i="2" s="1" a="1"/>
  <c r="U7" i="2" s="1"/>
  <c r="U6" i="2" a="1"/>
  <c r="U6" i="2" s="1"/>
  <c r="Q6" i="2"/>
  <c r="P6" i="2"/>
  <c r="M6" i="2"/>
  <c r="V6" i="2" s="1"/>
  <c r="I6" i="2"/>
  <c r="E6" i="2"/>
  <c r="T6" i="2" s="1" a="1"/>
  <c r="T6" i="2" s="1"/>
  <c r="Q5" i="2"/>
  <c r="P5" i="2"/>
  <c r="M5" i="2"/>
  <c r="V5" i="2" s="1"/>
  <c r="I5" i="2"/>
  <c r="E5" i="2"/>
  <c r="S5" i="2" s="1" a="1"/>
  <c r="S5" i="2" s="1"/>
  <c r="V4" i="2"/>
  <c r="U4" i="2" a="1"/>
  <c r="U4" i="2"/>
  <c r="T4" i="2" a="1"/>
  <c r="T4" i="2"/>
  <c r="S4" i="2" a="1"/>
  <c r="S4" i="2" s="1"/>
  <c r="Q4" i="2"/>
  <c r="P4" i="2"/>
  <c r="M4" i="2"/>
  <c r="I4" i="2"/>
  <c r="W4" i="2" s="1"/>
  <c r="E4" i="2"/>
  <c r="R4" i="2" s="1" a="1"/>
  <c r="R4" i="2" s="1"/>
  <c r="U3" i="2" a="1"/>
  <c r="U3" i="2" s="1"/>
  <c r="T3" i="2" a="1"/>
  <c r="T3" i="2"/>
  <c r="S3" i="2" a="1"/>
  <c r="S3" i="2"/>
  <c r="R3" i="2" a="1"/>
  <c r="R3" i="2"/>
  <c r="Q3" i="2"/>
  <c r="P3" i="2"/>
  <c r="M3" i="2"/>
  <c r="I3" i="2"/>
  <c r="W3" i="2" s="1"/>
  <c r="E3" i="2"/>
  <c r="Q2" i="2"/>
  <c r="P2" i="2"/>
  <c r="M2" i="2"/>
  <c r="V2" i="2" s="1"/>
  <c r="K2" i="2"/>
  <c r="I2" i="2"/>
  <c r="E2" i="2"/>
  <c r="U2" i="2" s="1" a="1"/>
  <c r="U2" i="2" s="1"/>
  <c r="W16" i="2" l="1"/>
  <c r="W19" i="2"/>
  <c r="W11" i="2"/>
  <c r="W17" i="2"/>
  <c r="W10" i="2"/>
  <c r="W18" i="2"/>
  <c r="W6" i="2"/>
  <c r="W12" i="2"/>
  <c r="W25" i="2"/>
  <c r="W24" i="2"/>
  <c r="W5" i="2"/>
  <c r="W20" i="2"/>
  <c r="W13" i="2"/>
  <c r="W26" i="2"/>
  <c r="W22" i="2"/>
  <c r="W27" i="2"/>
  <c r="W30" i="2"/>
  <c r="T12" i="2" a="1"/>
  <c r="T12" i="2" s="1"/>
  <c r="S18" i="2" a="1"/>
  <c r="S18" i="2" s="1"/>
  <c r="R24" i="2" a="1"/>
  <c r="R24" i="2" s="1"/>
  <c r="U9" i="2" a="1"/>
  <c r="U9" i="2" s="1"/>
  <c r="W29" i="2"/>
  <c r="V31" i="2"/>
  <c r="T5" i="2" a="1"/>
  <c r="T5" i="2" s="1"/>
  <c r="R17" i="2" a="1"/>
  <c r="R17" i="2" s="1"/>
  <c r="W21" i="2"/>
  <c r="T31" i="2" a="1"/>
  <c r="T31" i="2" s="1"/>
  <c r="W14" i="2"/>
  <c r="S17" i="2" a="1"/>
  <c r="S17" i="2" s="1"/>
  <c r="U24" i="2" a="1"/>
  <c r="U24" i="2" s="1"/>
  <c r="V29" i="2"/>
  <c r="W28" i="2"/>
  <c r="V3" i="2"/>
  <c r="S9" i="2" a="1"/>
  <c r="S9" i="2" s="1"/>
  <c r="U12" i="2" a="1"/>
  <c r="U12" i="2" s="1"/>
  <c r="W31" i="2"/>
  <c r="R2" i="2" a="1"/>
  <c r="R2" i="2" s="1"/>
  <c r="T24" i="2" a="1"/>
  <c r="T24" i="2" s="1"/>
  <c r="S29" i="2" a="1"/>
  <c r="S29" i="2" s="1"/>
  <c r="W2" i="2"/>
  <c r="R9" i="2" a="1"/>
  <c r="R9" i="2" s="1"/>
  <c r="W7" i="2"/>
  <c r="U18" i="2" a="1"/>
  <c r="U18" i="2" s="1"/>
  <c r="U29" i="2" a="1"/>
  <c r="U29" i="2" s="1"/>
  <c r="W9" i="2"/>
  <c r="W15" i="2"/>
  <c r="T18" i="2" a="1"/>
  <c r="T18" i="2" s="1"/>
  <c r="S2" i="2" a="1"/>
  <c r="S2" i="2" s="1"/>
  <c r="T2" i="2" a="1"/>
  <c r="T2" i="2" s="1"/>
  <c r="S11" i="2" a="1"/>
  <c r="S11" i="2" s="1"/>
  <c r="U5" i="2" a="1"/>
  <c r="U5" i="2" s="1"/>
  <c r="W8" i="2"/>
  <c r="R29" i="2" a="1"/>
  <c r="R29" i="2" s="1"/>
  <c r="T11" i="2" a="1"/>
  <c r="T11" i="2" s="1"/>
  <c r="T17" i="2" a="1"/>
  <c r="T17" i="2" s="1"/>
  <c r="R23" i="2" a="1"/>
  <c r="R23" i="2" s="1"/>
  <c r="V10" i="2"/>
  <c r="U11" i="2" a="1"/>
  <c r="U11" i="2" s="1"/>
  <c r="U25" i="2" a="1"/>
  <c r="U25" i="2" s="1"/>
  <c r="S7" i="2" a="1"/>
  <c r="S7" i="2" s="1"/>
  <c r="R13" i="2" a="1"/>
  <c r="R13" i="2" s="1"/>
  <c r="U15" i="2" a="1"/>
  <c r="U15" i="2" s="1"/>
  <c r="T21" i="2" a="1"/>
  <c r="T21" i="2" s="1"/>
  <c r="S27" i="2" a="1"/>
  <c r="S27" i="2" s="1"/>
  <c r="T27" i="2" a="1"/>
  <c r="T27" i="2" s="1"/>
  <c r="R14" i="2" a="1"/>
  <c r="R14" i="2" s="1"/>
  <c r="R7" i="2" a="1"/>
  <c r="R7" i="2" s="1"/>
  <c r="S14" i="2" a="1"/>
  <c r="S14" i="2" s="1"/>
  <c r="T15" i="2" a="1"/>
  <c r="T15" i="2" s="1"/>
  <c r="S21" i="2" a="1"/>
  <c r="S21" i="2" s="1"/>
  <c r="R27" i="2" a="1"/>
  <c r="R27" i="2" s="1"/>
  <c r="R20" i="2" a="1"/>
  <c r="R20" i="2" s="1"/>
  <c r="U8" i="2" a="1"/>
  <c r="U8" i="2" s="1"/>
  <c r="T7" i="2" a="1"/>
  <c r="T7" i="2" s="1"/>
  <c r="R25" i="2" a="1"/>
  <c r="R25" i="2" s="1"/>
  <c r="S15" i="2" a="1"/>
  <c r="S15" i="2" s="1"/>
  <c r="R21" i="2" a="1"/>
  <c r="R21" i="2" s="1"/>
  <c r="R6" i="2" a="1"/>
  <c r="R6" i="2" s="1"/>
  <c r="T14" i="2" a="1"/>
  <c r="T14" i="2" s="1"/>
  <c r="S20" i="2" a="1"/>
  <c r="S20" i="2" s="1"/>
  <c r="R26" i="2" a="1"/>
  <c r="R26" i="2" s="1"/>
  <c r="S13" i="2" a="1"/>
  <c r="S13" i="2" s="1"/>
  <c r="R19" i="2" a="1"/>
  <c r="R19" i="2" s="1"/>
  <c r="S6" i="2" a="1"/>
  <c r="S6" i="2" s="1"/>
  <c r="R12" i="2" a="1"/>
  <c r="R12" i="2" s="1"/>
  <c r="T20" i="2" a="1"/>
  <c r="T20" i="2" s="1"/>
  <c r="S26" i="2" a="1"/>
  <c r="S26" i="2" s="1"/>
  <c r="R5" i="2" a="1"/>
  <c r="R5" i="2" s="1"/>
  <c r="T13" i="2" a="1"/>
  <c r="T13" i="2" s="1"/>
  <c r="S19" i="2" a="1"/>
  <c r="S19" i="2" s="1"/>
  <c r="T26" i="2" a="1"/>
  <c r="T26" i="2" s="1"/>
  <c r="S8" i="2" a="1"/>
  <c r="S8" i="2" s="1"/>
  <c r="T8" i="2" a="1"/>
  <c r="T8" i="2" s="1"/>
  <c r="S25" i="2" a="1"/>
  <c r="S25" i="2" s="1"/>
  <c r="R31" i="2" a="1"/>
  <c r="R31" i="2" s="1"/>
  <c r="S31" i="2" a="1"/>
  <c r="S31" i="2" s="1"/>
</calcChain>
</file>

<file path=xl/sharedStrings.xml><?xml version="1.0" encoding="utf-8"?>
<sst xmlns="http://schemas.openxmlformats.org/spreadsheetml/2006/main" count="552" uniqueCount="131">
  <si>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</si>
  <si>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</si>
  <si>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</si>
  <si>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</si>
  <si>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</si>
  <si>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</si>
  <si>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</si>
  <si>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</si>
  <si>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</si>
  <si>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</si>
  <si>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</si>
  <si>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</si>
  <si>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</si>
  <si>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</si>
  <si>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</si>
  <si>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</si>
  <si>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</si>
  <si>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</si>
  <si>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</si>
  <si>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</si>
  <si>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Captured</t>
  </si>
  <si>
    <t>U002</t>
  </si>
  <si>
    <t>Card</t>
  </si>
  <si>
    <t>T003</t>
  </si>
  <si>
    <t>BETA STORES</t>
  </si>
  <si>
    <t>CAPTURED</t>
  </si>
  <si>
    <t>U003</t>
  </si>
  <si>
    <t>NetBanking</t>
  </si>
  <si>
    <t>T004</t>
  </si>
  <si>
    <t>Beta  Stores</t>
  </si>
  <si>
    <t>failed e05 timeout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</si>
  <si>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</si>
  <si>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</si>
  <si>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</si>
  <si>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</si>
  <si>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</si>
  <si>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</si>
  <si>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</si>
  <si>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</si>
  <si>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</si>
  <si>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</si>
  <si>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</si>
  <si>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</si>
  <si>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</si>
  <si>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</si>
  <si>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</si>
  <si>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</si>
  <si>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</si>
  <si>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</si>
  <si>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</si>
  <si>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</si>
  <si>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</si>
  <si>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</si>
  <si>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</si>
  <si>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</si>
  <si>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</si>
  <si>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</si>
  <si>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</si>
  <si>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</si>
  <si>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</si>
  <si>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</si>
  <si>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</si>
  <si>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</si>
  <si>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</si>
  <si>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</si>
  <si>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</si>
  <si>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</si>
  <si>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</si>
  <si>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</si>
  <si>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</si>
  <si>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>risk-86</t>
  </si>
  <si>
    <t>T019</t>
  </si>
  <si>
    <t>score:67</t>
  </si>
  <si>
    <t>T020</t>
  </si>
  <si>
    <t>T021</t>
  </si>
  <si>
    <t>beta stores</t>
  </si>
  <si>
    <t>score:63</t>
  </si>
  <si>
    <t>T022</t>
  </si>
  <si>
    <t>T023</t>
  </si>
  <si>
    <t>City Pharma</t>
  </si>
  <si>
    <t>EUR</t>
  </si>
  <si>
    <t>EU</t>
  </si>
  <si>
    <t>T024</t>
  </si>
  <si>
    <t>Eco Home</t>
  </si>
  <si>
    <t>score:65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</si>
  <si>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</si>
  <si>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</si>
  <si>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</si>
  <si>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</si>
  <si>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</si>
  <si>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</si>
  <si>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</si>
  <si>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</si>
  <si>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</si>
  <si>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</si>
  <si>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</si>
  <si>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</si>
  <si>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>delta travels</t>
  </si>
  <si>
    <t>score:58</t>
  </si>
  <si>
    <t>T030</t>
  </si>
  <si>
    <t>score:47</t>
  </si>
  <si>
    <t>merchant_name_clean</t>
  </si>
  <si>
    <t>status_clean</t>
  </si>
  <si>
    <t>risk_score_clean</t>
  </si>
  <si>
    <t>gateway_region_clean</t>
  </si>
  <si>
    <t>payment_method_clean</t>
  </si>
  <si>
    <t>amount_usd</t>
  </si>
  <si>
    <t>merchant_id</t>
  </si>
  <si>
    <t>account_manager</t>
  </si>
  <si>
    <t>merchant_category</t>
  </si>
  <si>
    <t>default_region</t>
  </si>
  <si>
    <t>high_value_flag</t>
  </si>
  <si>
    <t>high_risk_flag</t>
  </si>
  <si>
    <t>I DID EVERYTHING HERE ITSELF IT HAS BOTH RAW AND CLEAN DATA TOGETHER</t>
  </si>
  <si>
    <t>rate_date</t>
  </si>
  <si>
    <t>usd_rate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</si>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</sst>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28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workbookViewId="0"/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2">
        <v>46082</v>
      </c>
      <c r="C2" s="1" t="s">
        <v>11</v>
      </c>
      <c r="D2" s="1">
        <v>420000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5.75" customHeight="1" x14ac:dyDescent="0.3">
      <c r="A3" s="1" t="s">
        <v>18</v>
      </c>
      <c r="B3" s="2">
        <v>46082</v>
      </c>
      <c r="C3" s="1" t="s">
        <v>19</v>
      </c>
      <c r="D3" s="1">
        <v>210000</v>
      </c>
      <c r="E3" s="1" t="s">
        <v>12</v>
      </c>
      <c r="F3" s="1" t="s">
        <v>20</v>
      </c>
      <c r="G3" s="1">
        <v>55</v>
      </c>
      <c r="I3" s="1" t="s">
        <v>21</v>
      </c>
      <c r="J3" s="1" t="s">
        <v>22</v>
      </c>
    </row>
    <row r="4" spans="1:10" ht="15.75" customHeight="1" x14ac:dyDescent="0.3">
      <c r="A4" s="1" t="s">
        <v>23</v>
      </c>
      <c r="B4" s="2">
        <v>46082</v>
      </c>
      <c r="C4" s="1" t="s">
        <v>24</v>
      </c>
      <c r="D4" s="1">
        <v>510000</v>
      </c>
      <c r="E4" s="1" t="s">
        <v>12</v>
      </c>
      <c r="F4" s="1" t="s">
        <v>25</v>
      </c>
      <c r="G4" s="1">
        <v>71</v>
      </c>
      <c r="H4" s="1" t="s">
        <v>15</v>
      </c>
      <c r="I4" s="1" t="s">
        <v>26</v>
      </c>
      <c r="J4" s="1" t="s">
        <v>27</v>
      </c>
    </row>
    <row r="5" spans="1:10" ht="15.75" customHeight="1" x14ac:dyDescent="0.3">
      <c r="A5" s="1" t="s">
        <v>28</v>
      </c>
      <c r="B5" s="2">
        <v>46083</v>
      </c>
      <c r="C5" s="1" t="s">
        <v>29</v>
      </c>
      <c r="D5" s="1">
        <v>160000</v>
      </c>
      <c r="E5" s="1" t="s">
        <v>12</v>
      </c>
      <c r="F5" s="1" t="s">
        <v>30</v>
      </c>
      <c r="G5" s="1">
        <v>68</v>
      </c>
      <c r="H5" s="1" t="s">
        <v>31</v>
      </c>
      <c r="I5" s="1" t="s">
        <v>32</v>
      </c>
      <c r="J5" s="1" t="s">
        <v>22</v>
      </c>
    </row>
    <row r="6" spans="1:10" ht="15.75" customHeight="1" x14ac:dyDescent="0.3">
      <c r="A6" s="1" t="s">
        <v>33</v>
      </c>
      <c r="B6" s="2">
        <v>46083</v>
      </c>
      <c r="C6" s="1" t="s">
        <v>34</v>
      </c>
      <c r="D6" s="1">
        <v>390000</v>
      </c>
      <c r="E6" s="1" t="s">
        <v>12</v>
      </c>
      <c r="F6" s="1" t="s">
        <v>25</v>
      </c>
      <c r="G6" s="1">
        <v>58</v>
      </c>
      <c r="I6" s="1" t="s">
        <v>16</v>
      </c>
      <c r="J6" s="1" t="s">
        <v>17</v>
      </c>
    </row>
    <row r="7" spans="1:10" ht="15.75" customHeight="1" x14ac:dyDescent="0.3">
      <c r="A7" s="1" t="s">
        <v>35</v>
      </c>
      <c r="B7" s="2">
        <v>46083</v>
      </c>
      <c r="C7" s="1" t="s">
        <v>29</v>
      </c>
      <c r="D7" s="1">
        <v>275000</v>
      </c>
      <c r="E7" s="1" t="s">
        <v>12</v>
      </c>
      <c r="F7" s="1" t="s">
        <v>20</v>
      </c>
      <c r="G7" s="1" t="s">
        <v>36</v>
      </c>
      <c r="I7" s="1" t="s">
        <v>37</v>
      </c>
      <c r="J7" s="1" t="s">
        <v>38</v>
      </c>
    </row>
    <row r="8" spans="1:10" ht="15.75" customHeight="1" x14ac:dyDescent="0.3">
      <c r="A8" s="1" t="s">
        <v>39</v>
      </c>
      <c r="B8" s="2">
        <v>46083</v>
      </c>
      <c r="C8" s="1" t="s">
        <v>40</v>
      </c>
      <c r="D8" s="1">
        <v>450000</v>
      </c>
      <c r="E8" s="1" t="s">
        <v>12</v>
      </c>
      <c r="F8" s="1" t="s">
        <v>41</v>
      </c>
      <c r="G8" s="1" t="s">
        <v>42</v>
      </c>
      <c r="H8" s="1" t="s">
        <v>15</v>
      </c>
      <c r="I8" s="1" t="s">
        <v>43</v>
      </c>
      <c r="J8" s="1" t="s">
        <v>22</v>
      </c>
    </row>
    <row r="9" spans="1:10" ht="15.75" customHeight="1" x14ac:dyDescent="0.3">
      <c r="A9" s="1" t="s">
        <v>44</v>
      </c>
      <c r="B9" s="2">
        <v>46084</v>
      </c>
      <c r="C9" s="1" t="s">
        <v>24</v>
      </c>
      <c r="D9" s="1">
        <v>340000</v>
      </c>
      <c r="E9" s="1" t="s">
        <v>12</v>
      </c>
      <c r="F9" s="1" t="s">
        <v>20</v>
      </c>
      <c r="G9" s="1">
        <v>59</v>
      </c>
      <c r="I9" s="1" t="s">
        <v>45</v>
      </c>
      <c r="J9" s="1" t="s">
        <v>17</v>
      </c>
    </row>
    <row r="10" spans="1:10" ht="15.75" customHeight="1" x14ac:dyDescent="0.3">
      <c r="A10" s="1" t="s">
        <v>46</v>
      </c>
      <c r="B10" s="2">
        <v>46084</v>
      </c>
      <c r="C10" s="1" t="s">
        <v>34</v>
      </c>
      <c r="D10" s="1">
        <v>125000</v>
      </c>
      <c r="E10" s="1" t="s">
        <v>12</v>
      </c>
      <c r="F10" s="1" t="s">
        <v>13</v>
      </c>
      <c r="G10" s="1">
        <v>46</v>
      </c>
      <c r="H10" s="1" t="s">
        <v>15</v>
      </c>
      <c r="I10" s="1" t="s">
        <v>21</v>
      </c>
      <c r="J10" s="1" t="s">
        <v>38</v>
      </c>
    </row>
    <row r="11" spans="1:10" ht="15.75" customHeight="1" x14ac:dyDescent="0.3">
      <c r="A11" s="1" t="s">
        <v>47</v>
      </c>
      <c r="B11" s="2">
        <v>46084</v>
      </c>
      <c r="C11" s="1" t="s">
        <v>48</v>
      </c>
      <c r="D11" s="1">
        <v>610000</v>
      </c>
      <c r="E11" s="1" t="s">
        <v>12</v>
      </c>
      <c r="F11" s="1" t="s">
        <v>13</v>
      </c>
      <c r="G11" s="1" t="s">
        <v>49</v>
      </c>
      <c r="I11" s="1" t="s">
        <v>26</v>
      </c>
      <c r="J11" s="1" t="s">
        <v>22</v>
      </c>
    </row>
    <row r="12" spans="1:10" ht="15.75" customHeight="1" x14ac:dyDescent="0.3">
      <c r="A12" s="1" t="s">
        <v>50</v>
      </c>
      <c r="B12" s="2">
        <v>46084</v>
      </c>
      <c r="C12" s="1" t="s">
        <v>40</v>
      </c>
      <c r="D12" s="1">
        <v>195000</v>
      </c>
      <c r="E12" s="1" t="s">
        <v>12</v>
      </c>
      <c r="F12" s="1" t="s">
        <v>51</v>
      </c>
      <c r="I12" s="1" t="s">
        <v>52</v>
      </c>
      <c r="J12" s="1" t="s">
        <v>17</v>
      </c>
    </row>
    <row r="13" spans="1:10" ht="15.75" customHeight="1" x14ac:dyDescent="0.3">
      <c r="A13" s="1" t="s">
        <v>53</v>
      </c>
      <c r="B13" s="2">
        <v>46085</v>
      </c>
      <c r="C13" s="1" t="s">
        <v>29</v>
      </c>
      <c r="D13" s="1">
        <v>250000</v>
      </c>
      <c r="E13" s="1" t="s">
        <v>12</v>
      </c>
      <c r="F13" s="1" t="s">
        <v>13</v>
      </c>
      <c r="G13" s="1" t="s">
        <v>54</v>
      </c>
      <c r="H13" s="1" t="s">
        <v>15</v>
      </c>
      <c r="I13" s="1" t="s">
        <v>55</v>
      </c>
      <c r="J13" s="1" t="s">
        <v>22</v>
      </c>
    </row>
    <row r="14" spans="1:10" ht="15.75" customHeight="1" x14ac:dyDescent="0.3">
      <c r="A14" s="1" t="s">
        <v>56</v>
      </c>
      <c r="B14" s="2">
        <v>46085</v>
      </c>
      <c r="C14" s="1" t="s">
        <v>11</v>
      </c>
      <c r="D14" s="1">
        <v>310000</v>
      </c>
      <c r="E14" s="1" t="s">
        <v>12</v>
      </c>
      <c r="F14" s="1" t="s">
        <v>13</v>
      </c>
      <c r="G14" s="1" t="s">
        <v>57</v>
      </c>
      <c r="H14" s="1" t="s">
        <v>15</v>
      </c>
      <c r="I14" s="1" t="s">
        <v>58</v>
      </c>
      <c r="J14" s="1" t="s">
        <v>17</v>
      </c>
    </row>
    <row r="15" spans="1:10" ht="15.75" customHeight="1" x14ac:dyDescent="0.3">
      <c r="A15" s="1" t="s">
        <v>59</v>
      </c>
      <c r="B15" s="2">
        <v>46085</v>
      </c>
      <c r="C15" s="1" t="s">
        <v>29</v>
      </c>
      <c r="D15" s="1">
        <v>470000</v>
      </c>
      <c r="E15" s="1" t="s">
        <v>12</v>
      </c>
      <c r="F15" s="1" t="s">
        <v>13</v>
      </c>
      <c r="G15" s="1" t="s">
        <v>60</v>
      </c>
      <c r="H15" s="1" t="s">
        <v>15</v>
      </c>
      <c r="I15" s="1" t="s">
        <v>16</v>
      </c>
      <c r="J15" s="1" t="s">
        <v>27</v>
      </c>
    </row>
    <row r="16" spans="1:10" ht="15.75" customHeight="1" x14ac:dyDescent="0.3">
      <c r="A16" s="1" t="s">
        <v>61</v>
      </c>
      <c r="B16" s="2">
        <v>46085</v>
      </c>
      <c r="C16" s="1" t="s">
        <v>34</v>
      </c>
      <c r="D16" s="1">
        <v>130000</v>
      </c>
      <c r="E16" s="1" t="s">
        <v>12</v>
      </c>
      <c r="F16" s="1" t="s">
        <v>13</v>
      </c>
      <c r="G16" s="1" t="s">
        <v>62</v>
      </c>
      <c r="I16" s="1" t="s">
        <v>21</v>
      </c>
      <c r="J16" s="1" t="s">
        <v>22</v>
      </c>
    </row>
    <row r="17" spans="1:10" ht="15.75" customHeight="1" x14ac:dyDescent="0.3">
      <c r="A17" s="1" t="s">
        <v>63</v>
      </c>
      <c r="B17" s="2">
        <v>46086</v>
      </c>
      <c r="C17" s="1" t="s">
        <v>29</v>
      </c>
      <c r="D17" s="1">
        <v>220000</v>
      </c>
      <c r="E17" s="1" t="s">
        <v>12</v>
      </c>
      <c r="F17" s="1" t="s">
        <v>64</v>
      </c>
      <c r="G17" s="1" t="s">
        <v>65</v>
      </c>
      <c r="I17" s="1" t="s">
        <v>52</v>
      </c>
      <c r="J17" s="1" t="s">
        <v>22</v>
      </c>
    </row>
    <row r="18" spans="1:10" ht="15.75" customHeight="1" x14ac:dyDescent="0.3">
      <c r="A18" s="1" t="s">
        <v>66</v>
      </c>
      <c r="B18" s="2">
        <v>46086</v>
      </c>
      <c r="C18" s="1" t="s">
        <v>29</v>
      </c>
      <c r="D18" s="1">
        <v>180000</v>
      </c>
      <c r="E18" s="1" t="s">
        <v>12</v>
      </c>
      <c r="F18" s="1" t="s">
        <v>67</v>
      </c>
      <c r="G18" s="1" t="s">
        <v>68</v>
      </c>
      <c r="H18" s="1" t="s">
        <v>31</v>
      </c>
      <c r="I18" s="1" t="s">
        <v>52</v>
      </c>
      <c r="J18" s="1" t="s">
        <v>22</v>
      </c>
    </row>
    <row r="19" spans="1:10" ht="15.75" customHeight="1" x14ac:dyDescent="0.3">
      <c r="A19" s="1" t="s">
        <v>69</v>
      </c>
      <c r="B19" s="2">
        <v>46086</v>
      </c>
      <c r="C19" s="1" t="s">
        <v>24</v>
      </c>
      <c r="D19" s="1">
        <v>145000</v>
      </c>
      <c r="E19" s="1" t="s">
        <v>12</v>
      </c>
      <c r="F19" s="1" t="s">
        <v>41</v>
      </c>
      <c r="G19" s="1" t="s">
        <v>70</v>
      </c>
      <c r="H19" s="1" t="s">
        <v>15</v>
      </c>
      <c r="I19" s="1" t="s">
        <v>52</v>
      </c>
      <c r="J19" s="1" t="s">
        <v>17</v>
      </c>
    </row>
    <row r="20" spans="1:10" ht="15.75" customHeight="1" x14ac:dyDescent="0.3">
      <c r="A20" s="1" t="s">
        <v>71</v>
      </c>
      <c r="B20" s="2">
        <v>46086</v>
      </c>
      <c r="C20" s="1" t="s">
        <v>40</v>
      </c>
      <c r="D20" s="1">
        <v>260000</v>
      </c>
      <c r="E20" s="1" t="s">
        <v>12</v>
      </c>
      <c r="F20" s="1" t="s">
        <v>67</v>
      </c>
      <c r="G20" s="1" t="s">
        <v>72</v>
      </c>
      <c r="H20" s="1" t="s">
        <v>31</v>
      </c>
      <c r="I20" s="1" t="s">
        <v>52</v>
      </c>
      <c r="J20" s="1" t="s">
        <v>38</v>
      </c>
    </row>
    <row r="21" spans="1:10" ht="15.75" customHeight="1" x14ac:dyDescent="0.3">
      <c r="A21" s="1" t="s">
        <v>73</v>
      </c>
      <c r="B21" s="2">
        <v>46086</v>
      </c>
      <c r="C21" s="1" t="s">
        <v>34</v>
      </c>
      <c r="D21" s="1">
        <v>520000</v>
      </c>
      <c r="E21" s="1" t="s">
        <v>12</v>
      </c>
      <c r="F21" s="1" t="s">
        <v>20</v>
      </c>
      <c r="G21" s="1">
        <v>75</v>
      </c>
      <c r="H21" s="1" t="s">
        <v>15</v>
      </c>
      <c r="I21" s="1" t="s">
        <v>37</v>
      </c>
      <c r="J21" s="1" t="s">
        <v>17</v>
      </c>
    </row>
    <row r="22" spans="1:10" ht="15.75" customHeight="1" x14ac:dyDescent="0.3">
      <c r="A22" s="1" t="s">
        <v>74</v>
      </c>
      <c r="B22" s="2">
        <v>46087</v>
      </c>
      <c r="C22" s="1" t="s">
        <v>75</v>
      </c>
      <c r="D22" s="1">
        <v>330000</v>
      </c>
      <c r="E22" s="1" t="s">
        <v>12</v>
      </c>
      <c r="F22" s="1" t="s">
        <v>13</v>
      </c>
      <c r="G22" s="1" t="s">
        <v>76</v>
      </c>
      <c r="I22" s="1" t="s">
        <v>43</v>
      </c>
      <c r="J22" s="1" t="s">
        <v>22</v>
      </c>
    </row>
    <row r="23" spans="1:10" ht="15.75" customHeight="1" x14ac:dyDescent="0.3">
      <c r="A23" s="1" t="s">
        <v>77</v>
      </c>
      <c r="B23" s="2">
        <v>46087</v>
      </c>
      <c r="C23" s="1" t="s">
        <v>19</v>
      </c>
      <c r="D23" s="1">
        <v>410000</v>
      </c>
      <c r="E23" s="1" t="s">
        <v>12</v>
      </c>
      <c r="F23" s="1" t="s">
        <v>13</v>
      </c>
      <c r="G23" s="1">
        <v>60</v>
      </c>
      <c r="H23" s="1" t="s">
        <v>15</v>
      </c>
      <c r="I23" s="1" t="s">
        <v>45</v>
      </c>
      <c r="J23" s="1" t="s">
        <v>17</v>
      </c>
    </row>
    <row r="24" spans="1:10" ht="15.75" customHeight="1" x14ac:dyDescent="0.3">
      <c r="A24" s="1" t="s">
        <v>78</v>
      </c>
      <c r="B24" s="2">
        <v>46082</v>
      </c>
      <c r="C24" s="1" t="s">
        <v>79</v>
      </c>
      <c r="D24" s="1">
        <v>5200</v>
      </c>
      <c r="E24" s="1" t="s">
        <v>80</v>
      </c>
      <c r="F24" s="1" t="s">
        <v>20</v>
      </c>
      <c r="G24" s="1">
        <v>42</v>
      </c>
      <c r="H24" s="1" t="s">
        <v>81</v>
      </c>
      <c r="I24" s="1" t="s">
        <v>26</v>
      </c>
      <c r="J24" s="1" t="s">
        <v>22</v>
      </c>
    </row>
    <row r="25" spans="1:10" ht="15.75" customHeight="1" x14ac:dyDescent="0.3">
      <c r="A25" s="1" t="s">
        <v>82</v>
      </c>
      <c r="B25" s="2">
        <v>46083</v>
      </c>
      <c r="C25" s="1" t="s">
        <v>83</v>
      </c>
      <c r="D25" s="1">
        <v>6100</v>
      </c>
      <c r="E25" s="1" t="s">
        <v>80</v>
      </c>
      <c r="F25" s="1" t="s">
        <v>41</v>
      </c>
      <c r="G25" s="1" t="s">
        <v>84</v>
      </c>
      <c r="H25" s="1" t="s">
        <v>81</v>
      </c>
      <c r="I25" s="1" t="s">
        <v>32</v>
      </c>
      <c r="J25" s="1" t="s">
        <v>22</v>
      </c>
    </row>
    <row r="26" spans="1:10" ht="15.75" customHeight="1" x14ac:dyDescent="0.3">
      <c r="A26" s="1" t="s">
        <v>85</v>
      </c>
      <c r="B26" s="2">
        <v>46084</v>
      </c>
      <c r="C26" s="1" t="s">
        <v>79</v>
      </c>
      <c r="D26" s="1">
        <v>2800</v>
      </c>
      <c r="E26" s="1" t="s">
        <v>80</v>
      </c>
      <c r="F26" s="1" t="s">
        <v>13</v>
      </c>
      <c r="G26" s="1">
        <v>38</v>
      </c>
      <c r="H26" s="1" t="s">
        <v>86</v>
      </c>
      <c r="I26" s="1" t="s">
        <v>37</v>
      </c>
      <c r="J26" s="1" t="s">
        <v>38</v>
      </c>
    </row>
    <row r="27" spans="1:10" ht="15.75" customHeight="1" x14ac:dyDescent="0.3">
      <c r="A27" s="1" t="s">
        <v>87</v>
      </c>
      <c r="B27" s="2">
        <v>46086</v>
      </c>
      <c r="C27" s="1" t="s">
        <v>83</v>
      </c>
      <c r="D27" s="1">
        <v>3300</v>
      </c>
      <c r="E27" s="1" t="s">
        <v>80</v>
      </c>
      <c r="F27" s="1" t="s">
        <v>67</v>
      </c>
      <c r="G27" s="1">
        <v>44</v>
      </c>
      <c r="H27" s="1" t="s">
        <v>81</v>
      </c>
      <c r="I27" s="1" t="s">
        <v>43</v>
      </c>
      <c r="J27" s="1" t="s">
        <v>27</v>
      </c>
    </row>
    <row r="28" spans="1:10" ht="15.75" customHeight="1" x14ac:dyDescent="0.3">
      <c r="A28" s="1" t="s">
        <v>88</v>
      </c>
      <c r="B28" s="2">
        <v>46082</v>
      </c>
      <c r="C28" s="1" t="s">
        <v>89</v>
      </c>
      <c r="D28" s="1">
        <v>7200</v>
      </c>
      <c r="E28" s="1" t="s">
        <v>90</v>
      </c>
      <c r="F28" s="1" t="s">
        <v>13</v>
      </c>
      <c r="G28" s="1">
        <v>49</v>
      </c>
      <c r="H28" s="1" t="s">
        <v>91</v>
      </c>
      <c r="I28" s="1" t="s">
        <v>45</v>
      </c>
      <c r="J28" s="1" t="s">
        <v>22</v>
      </c>
    </row>
    <row r="29" spans="1:10" ht="15.75" customHeight="1" x14ac:dyDescent="0.3">
      <c r="A29" s="1" t="s">
        <v>92</v>
      </c>
      <c r="B29" s="2">
        <v>46083</v>
      </c>
      <c r="C29" s="1" t="s">
        <v>93</v>
      </c>
      <c r="D29" s="1">
        <v>3100</v>
      </c>
      <c r="E29" s="1" t="s">
        <v>90</v>
      </c>
      <c r="F29" s="1" t="s">
        <v>25</v>
      </c>
      <c r="G29" s="1" t="s">
        <v>94</v>
      </c>
      <c r="H29" s="1" t="s">
        <v>95</v>
      </c>
      <c r="I29" s="1" t="s">
        <v>52</v>
      </c>
      <c r="J29" s="1" t="s">
        <v>22</v>
      </c>
    </row>
    <row r="30" spans="1:10" ht="12.45" x14ac:dyDescent="0.3">
      <c r="A30" s="1" t="s">
        <v>96</v>
      </c>
      <c r="B30" s="2">
        <v>46085</v>
      </c>
      <c r="C30" s="1" t="s">
        <v>97</v>
      </c>
      <c r="D30" s="1">
        <v>2500</v>
      </c>
      <c r="E30" s="1" t="s">
        <v>90</v>
      </c>
      <c r="F30" s="1" t="s">
        <v>41</v>
      </c>
      <c r="G30" s="1" t="s">
        <v>98</v>
      </c>
      <c r="H30" s="1" t="s">
        <v>95</v>
      </c>
      <c r="I30" s="1" t="s">
        <v>55</v>
      </c>
      <c r="J30" s="1" t="s">
        <v>38</v>
      </c>
    </row>
    <row r="31" spans="1:10" ht="12.45" x14ac:dyDescent="0.3">
      <c r="A31" s="1" t="s">
        <v>99</v>
      </c>
      <c r="B31" s="2">
        <v>46087</v>
      </c>
      <c r="C31" s="1" t="s">
        <v>89</v>
      </c>
      <c r="D31" s="1">
        <v>1800</v>
      </c>
      <c r="E31" s="1" t="s">
        <v>90</v>
      </c>
      <c r="F31" s="1" t="s">
        <v>67</v>
      </c>
      <c r="G31" s="1" t="s">
        <v>100</v>
      </c>
      <c r="H31" s="1" t="s">
        <v>95</v>
      </c>
      <c r="I31" s="1" t="s">
        <v>58</v>
      </c>
      <c r="J3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35"/>
  <sheetViews>
    <sheetView tabSelected="1" topLeftCell="A16" workbookViewId="0">
      <selection activeCell="K10" sqref="K10"/>
    </sheetView>
  </sheetViews>
  <sheetFormatPr defaultColWidth="12.61328125" defaultRowHeight="15.75" customHeight="1" x14ac:dyDescent="0.3"/>
  <cols>
    <col min="3" max="3" width="14.61328125" customWidth="1"/>
    <col min="4" max="4" width="15.61328125" customWidth="1"/>
    <col min="5" max="5" width="19.3828125" customWidth="1"/>
    <col min="6" max="6" width="10.53515625" customWidth="1"/>
    <col min="11" max="11" width="15.23046875" customWidth="1"/>
    <col min="12" max="12" width="13.921875" customWidth="1"/>
    <col min="13" max="13" width="19.23046875" customWidth="1"/>
    <col min="15" max="15" width="15.3046875" customWidth="1"/>
    <col min="16" max="16" width="19.84375" customWidth="1"/>
    <col min="19" max="19" width="17.3828125" customWidth="1"/>
    <col min="20" max="20" width="16.61328125" customWidth="1"/>
    <col min="22" max="22" width="14.53515625" customWidth="1"/>
  </cols>
  <sheetData>
    <row r="1" spans="1:23" ht="15.75" customHeight="1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101</v>
      </c>
      <c r="F1" s="1" t="s">
        <v>3</v>
      </c>
      <c r="G1" s="1" t="s">
        <v>4</v>
      </c>
      <c r="H1" s="1" t="s">
        <v>5</v>
      </c>
      <c r="I1" s="1" t="s">
        <v>102</v>
      </c>
      <c r="J1" s="1" t="s">
        <v>6</v>
      </c>
      <c r="K1" s="1" t="s">
        <v>103</v>
      </c>
      <c r="L1" s="1" t="s">
        <v>7</v>
      </c>
      <c r="M1" s="1" t="s">
        <v>104</v>
      </c>
      <c r="N1" s="1" t="s">
        <v>8</v>
      </c>
      <c r="O1" s="1" t="s">
        <v>9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</row>
    <row r="2" spans="1:23" ht="15.75" customHeight="1" x14ac:dyDescent="0.3">
      <c r="A2" s="1" t="s">
        <v>10</v>
      </c>
      <c r="B2" s="1" t="s">
        <v>10</v>
      </c>
      <c r="C2" s="2">
        <v>46082</v>
      </c>
      <c r="D2" s="1" t="s">
        <v>11</v>
      </c>
      <c r="E2" s="1" t="str">
        <f t="shared" ref="E2:E31" si="0">UPPER(TRIM(D2))</f>
        <v>ALPHA MART</v>
      </c>
      <c r="F2" s="1">
        <v>420000</v>
      </c>
      <c r="G2" s="1" t="s">
        <v>12</v>
      </c>
      <c r="H2" s="1" t="s">
        <v>13</v>
      </c>
      <c r="I2" s="1" t="str">
        <f ca="1">IFERROR(__xludf.DUMMYFUNCTION("IF(REGEXMATCH(LOWER(I2),""capture""),""CAPTURED"",IF(REGEXMATCH(LOWER(I2),""chargeback""),""CHARGEBACK"",IF(REGEXMATCH(LOWER(I2),""fail""),""FAILED"",""UNKNOWN"")))"),"CAPTURED")</f>
        <v>CAPTURED</v>
      </c>
      <c r="J2" s="1" t="s">
        <v>14</v>
      </c>
      <c r="K2" s="1">
        <f ca="1">IFERROR(__xludf.DUMMYFUNCTION("IFERROR(VALUE(REGEXEXTRACT(K2,""\d+"")),0)"),62)</f>
        <v>62</v>
      </c>
      <c r="L2" s="1" t="s">
        <v>15</v>
      </c>
      <c r="M2" s="1" t="str">
        <f t="shared" ref="M2:M31" si="1">UPPER(TRIM(L2))</f>
        <v>APAC</v>
      </c>
      <c r="N2" s="1" t="s">
        <v>16</v>
      </c>
      <c r="O2" s="1" t="s">
        <v>17</v>
      </c>
      <c r="P2" s="1" t="str">
        <f t="shared" ref="P2:P31" si="2">UPPER(TRIM(O2))</f>
        <v>UPI</v>
      </c>
      <c r="Q2" s="1">
        <f>F2 * VLOOKUP(G2,exchange_rates!B:C,2,FALSE)</f>
        <v>4998</v>
      </c>
      <c r="R2" s="1" t="str">
        <f t="array" ref="R2">INDEX(merchant_master!A:A,MATCH(E2,merchant_master!C:C,0))</f>
        <v>M001</v>
      </c>
      <c r="S2" s="1" t="str">
        <f t="array" ref="S2">INDEX(merchant_master!D:D,MATCH(E2,merchant_master!C:C,0))</f>
        <v>Aisha Khan</v>
      </c>
      <c r="T2" s="1" t="str">
        <f t="array" ref="T2">INDEX(merchant_master!E:E,MATCH(E2,merchant_master!C:C,0))</f>
        <v>Grocery</v>
      </c>
      <c r="U2" s="1" t="str">
        <f t="array" ref="U2">INDEX(merchant_master!F:F,MATCH(E2,merchant_master!C:C,0))</f>
        <v>APAC</v>
      </c>
      <c r="V2" s="1">
        <f t="shared" ref="V2:V31" si="3">IF(OR(AND(M2="APAC",Q2&gt;5000),AND(M2="EU",Q2&gt;6000),AND(M2="US",Q2&gt;7000)),1,0)</f>
        <v>0</v>
      </c>
      <c r="W2" s="1">
        <f t="shared" ref="W2:W31" ca="1" si="4">IF(OR(K2&gt;=70,I2="CHARGEBACK"),1,0)</f>
        <v>0</v>
      </c>
    </row>
    <row r="3" spans="1:23" ht="15.75" customHeight="1" x14ac:dyDescent="0.3">
      <c r="A3" s="1" t="s">
        <v>18</v>
      </c>
      <c r="B3" s="1" t="s">
        <v>18</v>
      </c>
      <c r="C3" s="2">
        <v>46082</v>
      </c>
      <c r="D3" s="1" t="s">
        <v>19</v>
      </c>
      <c r="E3" s="1" t="str">
        <f t="shared" si="0"/>
        <v>ALPHA MART</v>
      </c>
      <c r="F3" s="1">
        <v>210000</v>
      </c>
      <c r="G3" s="1" t="s">
        <v>12</v>
      </c>
      <c r="H3" s="1" t="s">
        <v>20</v>
      </c>
      <c r="I3" s="1" t="str">
        <f ca="1">IFERROR(__xludf.DUMMYFUNCTION("IF(REGEXMATCH(LOWER(I3),""capture""),""CAPTURED"",IF(REGEXMATCH(LOWER(I3),""chargeback""),""CHARGEBACK"",IF(REGEXMATCH(LOWER(I3),""fail""),""FAILED"",""UNKNOWN"")))"),"CAPTURED")</f>
        <v>CAPTURED</v>
      </c>
      <c r="J3" s="1">
        <v>55</v>
      </c>
      <c r="K3" s="1">
        <v>55</v>
      </c>
      <c r="M3" s="1" t="str">
        <f t="shared" si="1"/>
        <v/>
      </c>
      <c r="N3" s="1" t="s">
        <v>21</v>
      </c>
      <c r="O3" s="1" t="s">
        <v>22</v>
      </c>
      <c r="P3" s="1" t="str">
        <f t="shared" si="2"/>
        <v>CARD</v>
      </c>
      <c r="Q3" s="1">
        <f>F3 * VLOOKUP(G3,exchange_rates!B:C,2,FALSE)</f>
        <v>2499</v>
      </c>
      <c r="R3" s="1" t="str">
        <f t="array" ref="R3">INDEX(merchant_master!A:A,MATCH(E3,merchant_master!C:C,0))</f>
        <v>M001</v>
      </c>
      <c r="S3" s="1" t="str">
        <f t="array" ref="S3">INDEX(merchant_master!D:D,MATCH(E3,merchant_master!C:C,0))</f>
        <v>Aisha Khan</v>
      </c>
      <c r="T3" s="1" t="str">
        <f t="array" ref="T3">INDEX(merchant_master!E:E,MATCH(E3,merchant_master!C:C,0))</f>
        <v>Grocery</v>
      </c>
      <c r="U3" s="1" t="str">
        <f t="array" ref="U3">INDEX(merchant_master!F:F,MATCH(E3,merchant_master!C:C,0))</f>
        <v>APAC</v>
      </c>
      <c r="V3" s="1">
        <f t="shared" si="3"/>
        <v>0</v>
      </c>
      <c r="W3" s="1">
        <f t="shared" ca="1" si="4"/>
        <v>0</v>
      </c>
    </row>
    <row r="4" spans="1:23" ht="15.75" customHeight="1" x14ac:dyDescent="0.3">
      <c r="A4" s="1" t="s">
        <v>23</v>
      </c>
      <c r="B4" s="1" t="s">
        <v>23</v>
      </c>
      <c r="C4" s="2">
        <v>46082</v>
      </c>
      <c r="D4" s="1" t="s">
        <v>24</v>
      </c>
      <c r="E4" s="1" t="str">
        <f t="shared" si="0"/>
        <v>BETA STORES</v>
      </c>
      <c r="F4" s="1">
        <v>510000</v>
      </c>
      <c r="G4" s="1" t="s">
        <v>12</v>
      </c>
      <c r="H4" s="1" t="s">
        <v>25</v>
      </c>
      <c r="I4" s="1" t="str">
        <f ca="1">IFERROR(__xludf.DUMMYFUNCTION("IF(REGEXMATCH(LOWER(I4),""capture""),""CAPTURED"",IF(REGEXMATCH(LOWER(I4),""chargeback""),""CHARGEBACK"",IF(REGEXMATCH(LOWER(I4),""fail""),""FAILED"",""UNKNOWN"")))"),"CAPTURED")</f>
        <v>CAPTURED</v>
      </c>
      <c r="J4" s="1">
        <v>71</v>
      </c>
      <c r="K4" s="1">
        <v>71</v>
      </c>
      <c r="L4" s="1" t="s">
        <v>15</v>
      </c>
      <c r="M4" s="1" t="str">
        <f t="shared" si="1"/>
        <v>APAC</v>
      </c>
      <c r="N4" s="1" t="s">
        <v>26</v>
      </c>
      <c r="O4" s="1" t="s">
        <v>27</v>
      </c>
      <c r="P4" s="1" t="str">
        <f t="shared" si="2"/>
        <v>NETBANKING</v>
      </c>
      <c r="Q4" s="1">
        <f>F4 * VLOOKUP(G4,exchange_rates!B:C,2,FALSE)</f>
        <v>6069</v>
      </c>
      <c r="R4" s="1" t="str">
        <f t="array" ref="R4">INDEX(merchant_master!A:A,MATCH(E4,merchant_master!C:C,0))</f>
        <v>M002</v>
      </c>
      <c r="S4" s="1" t="str">
        <f t="array" ref="S4">INDEX(merchant_master!D:D,MATCH(E4,merchant_master!C:C,0))</f>
        <v>Rohan Mehta</v>
      </c>
      <c r="T4" s="1" t="str">
        <f t="array" ref="T4">INDEX(merchant_master!E:E,MATCH(E4,merchant_master!C:C,0))</f>
        <v>Electronics</v>
      </c>
      <c r="U4" s="1" t="str">
        <f t="array" ref="U4">INDEX(merchant_master!F:F,MATCH(E4,merchant_master!C:C,0))</f>
        <v>APAC</v>
      </c>
      <c r="V4" s="1">
        <f t="shared" si="3"/>
        <v>1</v>
      </c>
      <c r="W4" s="1">
        <f t="shared" ca="1" si="4"/>
        <v>1</v>
      </c>
    </row>
    <row r="5" spans="1:23" ht="15.75" customHeight="1" x14ac:dyDescent="0.3">
      <c r="A5" s="1" t="s">
        <v>28</v>
      </c>
      <c r="B5" s="1" t="s">
        <v>28</v>
      </c>
      <c r="C5" s="2">
        <v>46083</v>
      </c>
      <c r="D5" s="1" t="s">
        <v>29</v>
      </c>
      <c r="E5" s="1" t="str">
        <f t="shared" si="0"/>
        <v>BETA STORES</v>
      </c>
      <c r="F5" s="1">
        <v>160000</v>
      </c>
      <c r="G5" s="1" t="s">
        <v>12</v>
      </c>
      <c r="H5" s="1" t="s">
        <v>30</v>
      </c>
      <c r="I5" s="1" t="str">
        <f ca="1">IFERROR(__xludf.DUMMYFUNCTION("IF(REGEXMATCH(LOWER(I5),""capture""),""CAPTURED"",IF(REGEXMATCH(LOWER(I5),""chargeback""),""CHARGEBACK"",IF(REGEXMATCH(LOWER(I5),""fail""),""FAILED"",""UNKNOWN"")))"),"FAILED")</f>
        <v>FAILED</v>
      </c>
      <c r="J5" s="1">
        <v>68</v>
      </c>
      <c r="K5" s="1">
        <v>68</v>
      </c>
      <c r="L5" s="1" t="s">
        <v>31</v>
      </c>
      <c r="M5" s="1" t="str">
        <f t="shared" si="1"/>
        <v>APAC</v>
      </c>
      <c r="N5" s="1" t="s">
        <v>32</v>
      </c>
      <c r="O5" s="1" t="s">
        <v>22</v>
      </c>
      <c r="P5" s="1" t="str">
        <f t="shared" si="2"/>
        <v>CARD</v>
      </c>
      <c r="Q5" s="1">
        <f>F5 * VLOOKUP(G5,exchange_rates!B:C,2,FALSE)</f>
        <v>1904.0000000000002</v>
      </c>
      <c r="R5" s="1" t="str">
        <f t="array" ref="R5">INDEX(merchant_master!A:A,MATCH(E5,merchant_master!C:C,0))</f>
        <v>M002</v>
      </c>
      <c r="S5" s="1" t="str">
        <f t="array" ref="S5">INDEX(merchant_master!D:D,MATCH(E5,merchant_master!C:C,0))</f>
        <v>Rohan Mehta</v>
      </c>
      <c r="T5" s="1" t="str">
        <f t="array" ref="T5">INDEX(merchant_master!E:E,MATCH(E5,merchant_master!C:C,0))</f>
        <v>Electronics</v>
      </c>
      <c r="U5" s="1" t="str">
        <f t="array" ref="U5">INDEX(merchant_master!F:F,MATCH(E5,merchant_master!C:C,0))</f>
        <v>APAC</v>
      </c>
      <c r="V5" s="1">
        <f t="shared" si="3"/>
        <v>0</v>
      </c>
      <c r="W5" s="1">
        <f t="shared" ca="1" si="4"/>
        <v>0</v>
      </c>
    </row>
    <row r="6" spans="1:23" ht="15.75" customHeight="1" x14ac:dyDescent="0.3">
      <c r="A6" s="1" t="s">
        <v>33</v>
      </c>
      <c r="B6" s="1" t="s">
        <v>33</v>
      </c>
      <c r="C6" s="2">
        <v>46083</v>
      </c>
      <c r="D6" s="1" t="s">
        <v>34</v>
      </c>
      <c r="E6" s="1" t="str">
        <f t="shared" si="0"/>
        <v>ALPHA MART</v>
      </c>
      <c r="F6" s="1">
        <v>390000</v>
      </c>
      <c r="G6" s="1" t="s">
        <v>12</v>
      </c>
      <c r="H6" s="1" t="s">
        <v>25</v>
      </c>
      <c r="I6" s="1" t="str">
        <f ca="1">IFERROR(__xludf.DUMMYFUNCTION("IF(REGEXMATCH(LOWER(I6),""capture""),""CAPTURED"",IF(REGEXMATCH(LOWER(I6),""chargeback""),""CHARGEBACK"",IF(REGEXMATCH(LOWER(I6),""fail""),""FAILED"",""UNKNOWN"")))"),"CAPTURED")</f>
        <v>CAPTURED</v>
      </c>
      <c r="J6" s="1">
        <v>58</v>
      </c>
      <c r="K6" s="1">
        <v>58</v>
      </c>
      <c r="M6" s="1" t="str">
        <f t="shared" si="1"/>
        <v/>
      </c>
      <c r="N6" s="1" t="s">
        <v>16</v>
      </c>
      <c r="O6" s="1" t="s">
        <v>17</v>
      </c>
      <c r="P6" s="1" t="str">
        <f t="shared" si="2"/>
        <v>UPI</v>
      </c>
      <c r="Q6" s="1">
        <f>F6 * VLOOKUP(G6,exchange_rates!B:C,2,FALSE)</f>
        <v>4641</v>
      </c>
      <c r="R6" s="1" t="str">
        <f t="array" ref="R6">INDEX(merchant_master!A:A,MATCH(E6,merchant_master!C:C,0))</f>
        <v>M001</v>
      </c>
      <c r="S6" s="1" t="str">
        <f t="array" ref="S6">INDEX(merchant_master!D:D,MATCH(E6,merchant_master!C:C,0))</f>
        <v>Aisha Khan</v>
      </c>
      <c r="T6" s="1" t="str">
        <f t="array" ref="T6">INDEX(merchant_master!E:E,MATCH(E6,merchant_master!C:C,0))</f>
        <v>Grocery</v>
      </c>
      <c r="U6" s="1" t="str">
        <f t="array" ref="U6">INDEX(merchant_master!F:F,MATCH(E6,merchant_master!C:C,0))</f>
        <v>APAC</v>
      </c>
      <c r="V6" s="1">
        <f t="shared" si="3"/>
        <v>0</v>
      </c>
      <c r="W6" s="1">
        <f t="shared" ca="1" si="4"/>
        <v>0</v>
      </c>
    </row>
    <row r="7" spans="1:23" ht="15.75" customHeight="1" x14ac:dyDescent="0.3">
      <c r="A7" s="1" t="s">
        <v>35</v>
      </c>
      <c r="B7" s="1" t="s">
        <v>35</v>
      </c>
      <c r="C7" s="2">
        <v>46083</v>
      </c>
      <c r="D7" s="1" t="s">
        <v>29</v>
      </c>
      <c r="E7" s="1" t="str">
        <f t="shared" si="0"/>
        <v>BETA STORES</v>
      </c>
      <c r="F7" s="1">
        <v>275000</v>
      </c>
      <c r="G7" s="1" t="s">
        <v>12</v>
      </c>
      <c r="H7" s="1" t="s">
        <v>20</v>
      </c>
      <c r="I7" s="1" t="str">
        <f ca="1">IFERROR(__xludf.DUMMYFUNCTION("IF(REGEXMATCH(LOWER(I7),""capture""),""CAPTURED"",IF(REGEXMATCH(LOWER(I7),""chargeback""),""CHARGEBACK"",IF(REGEXMATCH(LOWER(I7),""fail""),""FAILED"",""UNKNOWN"")))"),"CAPTURED")</f>
        <v>CAPTURED</v>
      </c>
      <c r="J7" s="1" t="s">
        <v>36</v>
      </c>
      <c r="K7" s="1">
        <f ca="1">IFERROR(__xludf.DUMMYFUNCTION("IFERROR(VALUE(REGEXEXTRACT(K7,""\d+"")),0)"),64)</f>
        <v>64</v>
      </c>
      <c r="M7" s="1" t="str">
        <f t="shared" si="1"/>
        <v/>
      </c>
      <c r="N7" s="1" t="s">
        <v>37</v>
      </c>
      <c r="O7" s="1" t="s">
        <v>38</v>
      </c>
      <c r="P7" s="1" t="str">
        <f t="shared" si="2"/>
        <v>WALLET</v>
      </c>
      <c r="Q7" s="1">
        <f>F7 * VLOOKUP(G7,exchange_rates!B:C,2,FALSE)</f>
        <v>3272.5000000000005</v>
      </c>
      <c r="R7" s="1" t="str">
        <f t="array" ref="R7">INDEX(merchant_master!A:A,MATCH(E7,merchant_master!C:C,0))</f>
        <v>M002</v>
      </c>
      <c r="S7" s="1" t="str">
        <f t="array" ref="S7">INDEX(merchant_master!D:D,MATCH(E7,merchant_master!C:C,0))</f>
        <v>Rohan Mehta</v>
      </c>
      <c r="T7" s="1" t="str">
        <f t="array" ref="T7">INDEX(merchant_master!E:E,MATCH(E7,merchant_master!C:C,0))</f>
        <v>Electronics</v>
      </c>
      <c r="U7" s="1" t="str">
        <f t="array" ref="U7">INDEX(merchant_master!F:F,MATCH(E7,merchant_master!C:C,0))</f>
        <v>APAC</v>
      </c>
      <c r="V7" s="1">
        <f t="shared" si="3"/>
        <v>0</v>
      </c>
      <c r="W7" s="1">
        <f t="shared" ca="1" si="4"/>
        <v>0</v>
      </c>
    </row>
    <row r="8" spans="1:23" ht="15.75" customHeight="1" x14ac:dyDescent="0.3">
      <c r="A8" s="1" t="s">
        <v>39</v>
      </c>
      <c r="B8" s="1" t="s">
        <v>39</v>
      </c>
      <c r="C8" s="2">
        <v>46083</v>
      </c>
      <c r="D8" s="1" t="s">
        <v>40</v>
      </c>
      <c r="E8" s="1" t="str">
        <f t="shared" si="0"/>
        <v>ALPHA MART</v>
      </c>
      <c r="F8" s="1">
        <v>450000</v>
      </c>
      <c r="G8" s="1" t="s">
        <v>12</v>
      </c>
      <c r="H8" s="1" t="s">
        <v>41</v>
      </c>
      <c r="I8" s="1" t="str">
        <f ca="1">IFERROR(__xludf.DUMMYFUNCTION("IF(REGEXMATCH(LOWER(I8),""capture""),""CAPTURED"",IF(REGEXMATCH(LOWER(I8),""chargeback""),""CHARGEBACK"",IF(REGEXMATCH(LOWER(I8),""fail""),""FAILED"",""UNKNOWN"")))"),"CHARGEBACK")</f>
        <v>CHARGEBACK</v>
      </c>
      <c r="J8" s="1" t="s">
        <v>42</v>
      </c>
      <c r="K8" s="1">
        <f ca="1">IFERROR(__xludf.DUMMYFUNCTION("IFERROR(VALUE(REGEXEXTRACT(K8,""\d+"")),0)"),83)</f>
        <v>83</v>
      </c>
      <c r="L8" s="1" t="s">
        <v>15</v>
      </c>
      <c r="M8" s="1" t="str">
        <f t="shared" si="1"/>
        <v>APAC</v>
      </c>
      <c r="N8" s="1" t="s">
        <v>43</v>
      </c>
      <c r="O8" s="1" t="s">
        <v>22</v>
      </c>
      <c r="P8" s="1" t="str">
        <f t="shared" si="2"/>
        <v>CARD</v>
      </c>
      <c r="Q8" s="1">
        <f>F8 * VLOOKUP(G8,exchange_rates!B:C,2,FALSE)</f>
        <v>5355</v>
      </c>
      <c r="R8" s="1" t="str">
        <f t="array" ref="R8">INDEX(merchant_master!A:A,MATCH(E8,merchant_master!C:C,0))</f>
        <v>M001</v>
      </c>
      <c r="S8" s="1" t="str">
        <f t="array" ref="S8">INDEX(merchant_master!D:D,MATCH(E8,merchant_master!C:C,0))</f>
        <v>Aisha Khan</v>
      </c>
      <c r="T8" s="1" t="str">
        <f t="array" ref="T8">INDEX(merchant_master!E:E,MATCH(E8,merchant_master!C:C,0))</f>
        <v>Grocery</v>
      </c>
      <c r="U8" s="1" t="str">
        <f t="array" ref="U8">INDEX(merchant_master!F:F,MATCH(E8,merchant_master!C:C,0))</f>
        <v>APAC</v>
      </c>
      <c r="V8" s="1">
        <f t="shared" si="3"/>
        <v>1</v>
      </c>
      <c r="W8" s="1">
        <f t="shared" ca="1" si="4"/>
        <v>1</v>
      </c>
    </row>
    <row r="9" spans="1:23" ht="15.75" customHeight="1" x14ac:dyDescent="0.3">
      <c r="A9" s="1" t="s">
        <v>44</v>
      </c>
      <c r="B9" s="1" t="s">
        <v>44</v>
      </c>
      <c r="C9" s="2">
        <v>46084</v>
      </c>
      <c r="D9" s="1" t="s">
        <v>24</v>
      </c>
      <c r="E9" s="1" t="str">
        <f t="shared" si="0"/>
        <v>BETA STORES</v>
      </c>
      <c r="F9" s="1">
        <v>340000</v>
      </c>
      <c r="G9" s="1" t="s">
        <v>12</v>
      </c>
      <c r="H9" s="1" t="s">
        <v>20</v>
      </c>
      <c r="I9" s="1" t="str">
        <f ca="1">IFERROR(__xludf.DUMMYFUNCTION("IF(REGEXMATCH(LOWER(I9),""capture""),""CAPTURED"",IF(REGEXMATCH(LOWER(I9),""chargeback""),""CHARGEBACK"",IF(REGEXMATCH(LOWER(I9),""fail""),""FAILED"",""UNKNOWN"")))"),"CAPTURED")</f>
        <v>CAPTURED</v>
      </c>
      <c r="J9" s="1">
        <v>59</v>
      </c>
      <c r="K9" s="1">
        <v>59</v>
      </c>
      <c r="M9" s="1" t="str">
        <f t="shared" si="1"/>
        <v/>
      </c>
      <c r="N9" s="1" t="s">
        <v>45</v>
      </c>
      <c r="O9" s="1" t="s">
        <v>17</v>
      </c>
      <c r="P9" s="1" t="str">
        <f t="shared" si="2"/>
        <v>UPI</v>
      </c>
      <c r="Q9" s="1">
        <f>F9 * VLOOKUP(G9,exchange_rates!B:C,2,FALSE)</f>
        <v>4046.0000000000005</v>
      </c>
      <c r="R9" s="1" t="str">
        <f t="array" ref="R9">INDEX(merchant_master!A:A,MATCH(E9,merchant_master!C:C,0))</f>
        <v>M002</v>
      </c>
      <c r="S9" s="1" t="str">
        <f t="array" ref="S9">INDEX(merchant_master!D:D,MATCH(E9,merchant_master!C:C,0))</f>
        <v>Rohan Mehta</v>
      </c>
      <c r="T9" s="1" t="str">
        <f t="array" ref="T9">INDEX(merchant_master!E:E,MATCH(E9,merchant_master!C:C,0))</f>
        <v>Electronics</v>
      </c>
      <c r="U9" s="1" t="str">
        <f t="array" ref="U9">INDEX(merchant_master!F:F,MATCH(E9,merchant_master!C:C,0))</f>
        <v>APAC</v>
      </c>
      <c r="V9" s="1">
        <f t="shared" si="3"/>
        <v>0</v>
      </c>
      <c r="W9" s="1">
        <f t="shared" ca="1" si="4"/>
        <v>0</v>
      </c>
    </row>
    <row r="10" spans="1:23" ht="15.75" customHeight="1" x14ac:dyDescent="0.3">
      <c r="A10" s="1" t="s">
        <v>46</v>
      </c>
      <c r="B10" s="1" t="s">
        <v>46</v>
      </c>
      <c r="C10" s="2">
        <v>46084</v>
      </c>
      <c r="D10" s="1" t="s">
        <v>34</v>
      </c>
      <c r="E10" s="1" t="str">
        <f t="shared" si="0"/>
        <v>ALPHA MART</v>
      </c>
      <c r="F10" s="1">
        <v>125000</v>
      </c>
      <c r="G10" s="1" t="s">
        <v>12</v>
      </c>
      <c r="H10" s="1" t="s">
        <v>13</v>
      </c>
      <c r="I10" s="1" t="str">
        <f ca="1">IFERROR(__xludf.DUMMYFUNCTION("IF(REGEXMATCH(LOWER(I10),""capture""),""CAPTURED"",IF(REGEXMATCH(LOWER(I10),""chargeback""),""CHARGEBACK"",IF(REGEXMATCH(LOWER(I10),""fail""),""FAILED"",""UNKNOWN"")))"),"CAPTURED")</f>
        <v>CAPTURED</v>
      </c>
      <c r="J10" s="1">
        <v>46</v>
      </c>
      <c r="K10" s="1">
        <v>46</v>
      </c>
      <c r="L10" s="1" t="s">
        <v>15</v>
      </c>
      <c r="M10" s="1" t="str">
        <f t="shared" si="1"/>
        <v>APAC</v>
      </c>
      <c r="N10" s="1" t="s">
        <v>21</v>
      </c>
      <c r="O10" s="1" t="s">
        <v>38</v>
      </c>
      <c r="P10" s="1" t="str">
        <f t="shared" si="2"/>
        <v>WALLET</v>
      </c>
      <c r="Q10" s="1">
        <f>F10 * VLOOKUP(G10,exchange_rates!B:C,2,FALSE)</f>
        <v>1487.5</v>
      </c>
      <c r="R10" s="1" t="str">
        <f t="array" ref="R10">INDEX(merchant_master!A:A,MATCH(E10,merchant_master!C:C,0))</f>
        <v>M001</v>
      </c>
      <c r="S10" s="1" t="str">
        <f t="array" ref="S10">INDEX(merchant_master!D:D,MATCH(E10,merchant_master!C:C,0))</f>
        <v>Aisha Khan</v>
      </c>
      <c r="T10" s="1" t="str">
        <f t="array" ref="T10">INDEX(merchant_master!E:E,MATCH(E10,merchant_master!C:C,0))</f>
        <v>Grocery</v>
      </c>
      <c r="U10" s="1" t="str">
        <f t="array" ref="U10">INDEX(merchant_master!F:F,MATCH(E10,merchant_master!C:C,0))</f>
        <v>APAC</v>
      </c>
      <c r="V10" s="1">
        <f t="shared" si="3"/>
        <v>0</v>
      </c>
      <c r="W10" s="1">
        <f t="shared" ca="1" si="4"/>
        <v>0</v>
      </c>
    </row>
    <row r="11" spans="1:23" ht="15.75" customHeight="1" x14ac:dyDescent="0.3">
      <c r="A11" s="1" t="s">
        <v>47</v>
      </c>
      <c r="B11" s="1" t="s">
        <v>47</v>
      </c>
      <c r="C11" s="2">
        <v>46084</v>
      </c>
      <c r="D11" s="1" t="s">
        <v>48</v>
      </c>
      <c r="E11" s="1" t="str">
        <f t="shared" si="0"/>
        <v>BETA STORES</v>
      </c>
      <c r="F11" s="1">
        <v>610000</v>
      </c>
      <c r="G11" s="1" t="s">
        <v>12</v>
      </c>
      <c r="H11" s="1" t="s">
        <v>13</v>
      </c>
      <c r="I11" s="1" t="str">
        <f ca="1">IFERROR(__xludf.DUMMYFUNCTION("IF(REGEXMATCH(LOWER(I11),""capture""),""CAPTURED"",IF(REGEXMATCH(LOWER(I11),""chargeback""),""CHARGEBACK"",IF(REGEXMATCH(LOWER(I11),""fail""),""FAILED"",""UNKNOWN"")))"),"CAPTURED")</f>
        <v>CAPTURED</v>
      </c>
      <c r="J11" s="1" t="s">
        <v>49</v>
      </c>
      <c r="K11" s="1">
        <f ca="1">IFERROR(__xludf.DUMMYFUNCTION("IFERROR(VALUE(REGEXEXTRACT(K11,""\d+"")),0)"),77)</f>
        <v>77</v>
      </c>
      <c r="M11" s="1" t="str">
        <f t="shared" si="1"/>
        <v/>
      </c>
      <c r="N11" s="1" t="s">
        <v>26</v>
      </c>
      <c r="O11" s="1" t="s">
        <v>22</v>
      </c>
      <c r="P11" s="1" t="str">
        <f t="shared" si="2"/>
        <v>CARD</v>
      </c>
      <c r="Q11" s="1">
        <f>F11 * VLOOKUP(G11,exchange_rates!B:C,2,FALSE)</f>
        <v>7259.0000000000009</v>
      </c>
      <c r="R11" s="1" t="str">
        <f t="array" ref="R11">INDEX(merchant_master!A:A,MATCH(E11,merchant_master!C:C,0))</f>
        <v>M002</v>
      </c>
      <c r="S11" s="1" t="str">
        <f t="array" ref="S11">INDEX(merchant_master!D:D,MATCH(E11,merchant_master!C:C,0))</f>
        <v>Rohan Mehta</v>
      </c>
      <c r="T11" s="1" t="str">
        <f t="array" ref="T11">INDEX(merchant_master!E:E,MATCH(E11,merchant_master!C:C,0))</f>
        <v>Electronics</v>
      </c>
      <c r="U11" s="1" t="str">
        <f t="array" ref="U11">INDEX(merchant_master!F:F,MATCH(E11,merchant_master!C:C,0))</f>
        <v>APAC</v>
      </c>
      <c r="V11" s="1">
        <f t="shared" si="3"/>
        <v>0</v>
      </c>
      <c r="W11" s="1">
        <f t="shared" ca="1" si="4"/>
        <v>1</v>
      </c>
    </row>
    <row r="12" spans="1:23" ht="15.75" customHeight="1" x14ac:dyDescent="0.3">
      <c r="A12" s="1" t="s">
        <v>50</v>
      </c>
      <c r="B12" s="1" t="s">
        <v>50</v>
      </c>
      <c r="C12" s="2">
        <v>46084</v>
      </c>
      <c r="D12" s="1" t="s">
        <v>40</v>
      </c>
      <c r="E12" s="1" t="str">
        <f t="shared" si="0"/>
        <v>ALPHA MART</v>
      </c>
      <c r="F12" s="1">
        <v>195000</v>
      </c>
      <c r="G12" s="1" t="s">
        <v>12</v>
      </c>
      <c r="H12" s="1" t="s">
        <v>51</v>
      </c>
      <c r="I12" s="1" t="str">
        <f ca="1">IFERROR(__xludf.DUMMYFUNCTION("IF(REGEXMATCH(LOWER(I12),""capture""),""CAPTURED"",IF(REGEXMATCH(LOWER(I12),""chargeback""),""CHARGEBACK"",IF(REGEXMATCH(LOWER(I12),""fail""),""FAILED"",""UNKNOWN"")))"),"FAILED")</f>
        <v>FAILED</v>
      </c>
      <c r="K12" s="1">
        <f ca="1">IFERROR(__xludf.DUMMYFUNCTION("IFERROR(VALUE(REGEXEXTRACT(K12,""\d+"")),0)"),0)</f>
        <v>0</v>
      </c>
      <c r="M12" s="1" t="str">
        <f t="shared" si="1"/>
        <v/>
      </c>
      <c r="N12" s="1" t="s">
        <v>52</v>
      </c>
      <c r="O12" s="1" t="s">
        <v>17</v>
      </c>
      <c r="P12" s="1" t="str">
        <f t="shared" si="2"/>
        <v>UPI</v>
      </c>
      <c r="Q12" s="1">
        <f>F12 * VLOOKUP(G12,exchange_rates!B:C,2,FALSE)</f>
        <v>2320.5</v>
      </c>
      <c r="R12" s="1" t="str">
        <f t="array" ref="R12">INDEX(merchant_master!A:A,MATCH(E12,merchant_master!C:C,0))</f>
        <v>M001</v>
      </c>
      <c r="S12" s="1" t="str">
        <f t="array" ref="S12">INDEX(merchant_master!D:D,MATCH(E12,merchant_master!C:C,0))</f>
        <v>Aisha Khan</v>
      </c>
      <c r="T12" s="1" t="str">
        <f t="array" ref="T12">INDEX(merchant_master!E:E,MATCH(E12,merchant_master!C:C,0))</f>
        <v>Grocery</v>
      </c>
      <c r="U12" s="1" t="str">
        <f t="array" ref="U12">INDEX(merchant_master!F:F,MATCH(E12,merchant_master!C:C,0))</f>
        <v>APAC</v>
      </c>
      <c r="V12" s="1">
        <f t="shared" si="3"/>
        <v>0</v>
      </c>
      <c r="W12" s="1">
        <f t="shared" ca="1" si="4"/>
        <v>0</v>
      </c>
    </row>
    <row r="13" spans="1:23" ht="15.75" customHeight="1" x14ac:dyDescent="0.3">
      <c r="A13" s="1" t="s">
        <v>53</v>
      </c>
      <c r="B13" s="1" t="s">
        <v>53</v>
      </c>
      <c r="C13" s="2">
        <v>46085</v>
      </c>
      <c r="D13" s="1" t="s">
        <v>29</v>
      </c>
      <c r="E13" s="1" t="str">
        <f t="shared" si="0"/>
        <v>BETA STORES</v>
      </c>
      <c r="F13" s="1">
        <v>250000</v>
      </c>
      <c r="G13" s="1" t="s">
        <v>12</v>
      </c>
      <c r="H13" s="1" t="s">
        <v>13</v>
      </c>
      <c r="I13" s="1" t="str">
        <f ca="1">IFERROR(__xludf.DUMMYFUNCTION("IF(REGEXMATCH(LOWER(I13),""capture""),""CAPTURED"",IF(REGEXMATCH(LOWER(I13),""chargeback""),""CHARGEBACK"",IF(REGEXMATCH(LOWER(I13),""fail""),""FAILED"",""UNKNOWN"")))"),"CAPTURED")</f>
        <v>CAPTURED</v>
      </c>
      <c r="J13" s="1" t="s">
        <v>54</v>
      </c>
      <c r="K13" s="1">
        <f ca="1">IFERROR(__xludf.DUMMYFUNCTION("IFERROR(VALUE(REGEXEXTRACT(K13,""\d+"")),0)"),61)</f>
        <v>61</v>
      </c>
      <c r="L13" s="1" t="s">
        <v>15</v>
      </c>
      <c r="M13" s="1" t="str">
        <f t="shared" si="1"/>
        <v>APAC</v>
      </c>
      <c r="N13" s="1" t="s">
        <v>55</v>
      </c>
      <c r="O13" s="1" t="s">
        <v>22</v>
      </c>
      <c r="P13" s="1" t="str">
        <f t="shared" si="2"/>
        <v>CARD</v>
      </c>
      <c r="Q13" s="1">
        <f>F13 * VLOOKUP(G13,exchange_rates!B:C,2,FALSE)</f>
        <v>2975</v>
      </c>
      <c r="R13" s="1" t="str">
        <f t="array" ref="R13">INDEX(merchant_master!A:A,MATCH(E13,merchant_master!C:C,0))</f>
        <v>M002</v>
      </c>
      <c r="S13" s="1" t="str">
        <f t="array" ref="S13">INDEX(merchant_master!D:D,MATCH(E13,merchant_master!C:C,0))</f>
        <v>Rohan Mehta</v>
      </c>
      <c r="T13" s="1" t="str">
        <f t="array" ref="T13">INDEX(merchant_master!E:E,MATCH(E13,merchant_master!C:C,0))</f>
        <v>Electronics</v>
      </c>
      <c r="U13" s="1" t="str">
        <f t="array" ref="U13">INDEX(merchant_master!F:F,MATCH(E13,merchant_master!C:C,0))</f>
        <v>APAC</v>
      </c>
      <c r="V13" s="1">
        <f t="shared" si="3"/>
        <v>0</v>
      </c>
      <c r="W13" s="1">
        <f t="shared" ca="1" si="4"/>
        <v>0</v>
      </c>
    </row>
    <row r="14" spans="1:23" ht="15.75" customHeight="1" x14ac:dyDescent="0.3">
      <c r="A14" s="1" t="s">
        <v>56</v>
      </c>
      <c r="B14" s="1" t="s">
        <v>56</v>
      </c>
      <c r="C14" s="2">
        <v>46085</v>
      </c>
      <c r="D14" s="1" t="s">
        <v>11</v>
      </c>
      <c r="E14" s="1" t="str">
        <f t="shared" si="0"/>
        <v>ALPHA MART</v>
      </c>
      <c r="F14" s="1">
        <v>310000</v>
      </c>
      <c r="G14" s="1" t="s">
        <v>12</v>
      </c>
      <c r="H14" s="1" t="s">
        <v>13</v>
      </c>
      <c r="I14" s="1" t="str">
        <f ca="1">IFERROR(__xludf.DUMMYFUNCTION("IF(REGEXMATCH(LOWER(I14),""capture""),""CAPTURED"",IF(REGEXMATCH(LOWER(I14),""chargeback""),""CHARGEBACK"",IF(REGEXMATCH(LOWER(I14),""fail""),""FAILED"",""UNKNOWN"")))"),"CAPTURED")</f>
        <v>CAPTURED</v>
      </c>
      <c r="J14" s="1" t="s">
        <v>57</v>
      </c>
      <c r="K14" s="1">
        <f ca="1">IFERROR(__xludf.DUMMYFUNCTION("IFERROR(VALUE(REGEXEXTRACT(K14,""\d+"")),0)"),54)</f>
        <v>54</v>
      </c>
      <c r="L14" s="1" t="s">
        <v>15</v>
      </c>
      <c r="M14" s="1" t="str">
        <f t="shared" si="1"/>
        <v>APAC</v>
      </c>
      <c r="N14" s="1" t="s">
        <v>58</v>
      </c>
      <c r="O14" s="1" t="s">
        <v>17</v>
      </c>
      <c r="P14" s="1" t="str">
        <f t="shared" si="2"/>
        <v>UPI</v>
      </c>
      <c r="Q14" s="1">
        <f>F14 * VLOOKUP(G14,exchange_rates!B:C,2,FALSE)</f>
        <v>3689.0000000000005</v>
      </c>
      <c r="R14" s="1" t="str">
        <f t="array" ref="R14">INDEX(merchant_master!A:A,MATCH(E14,merchant_master!C:C,0))</f>
        <v>M001</v>
      </c>
      <c r="S14" s="1" t="str">
        <f t="array" ref="S14">INDEX(merchant_master!D:D,MATCH(E14,merchant_master!C:C,0))</f>
        <v>Aisha Khan</v>
      </c>
      <c r="T14" s="1" t="str">
        <f t="array" ref="T14">INDEX(merchant_master!E:E,MATCH(E14,merchant_master!C:C,0))</f>
        <v>Grocery</v>
      </c>
      <c r="U14" s="1" t="str">
        <f t="array" ref="U14">INDEX(merchant_master!F:F,MATCH(E14,merchant_master!C:C,0))</f>
        <v>APAC</v>
      </c>
      <c r="V14" s="1">
        <f t="shared" si="3"/>
        <v>0</v>
      </c>
      <c r="W14" s="1">
        <f t="shared" ca="1" si="4"/>
        <v>0</v>
      </c>
    </row>
    <row r="15" spans="1:23" ht="15.75" customHeight="1" x14ac:dyDescent="0.3">
      <c r="A15" s="1" t="s">
        <v>59</v>
      </c>
      <c r="B15" s="1" t="s">
        <v>59</v>
      </c>
      <c r="C15" s="2">
        <v>46085</v>
      </c>
      <c r="D15" s="1" t="s">
        <v>29</v>
      </c>
      <c r="E15" s="1" t="str">
        <f t="shared" si="0"/>
        <v>BETA STORES</v>
      </c>
      <c r="F15" s="1">
        <v>470000</v>
      </c>
      <c r="G15" s="1" t="s">
        <v>12</v>
      </c>
      <c r="H15" s="1" t="s">
        <v>13</v>
      </c>
      <c r="I15" s="1" t="str">
        <f ca="1">IFERROR(__xludf.DUMMYFUNCTION("IF(REGEXMATCH(LOWER(I15),""capture""),""CAPTURED"",IF(REGEXMATCH(LOWER(I15),""chargeback""),""CHARGEBACK"",IF(REGEXMATCH(LOWER(I15),""fail""),""FAILED"",""UNKNOWN"")))"),"CAPTURED")</f>
        <v>CAPTURED</v>
      </c>
      <c r="J15" s="1" t="s">
        <v>60</v>
      </c>
      <c r="K15" s="1">
        <f ca="1">IFERROR(__xludf.DUMMYFUNCTION("IFERROR(VALUE(REGEXEXTRACT(K15,""\d+"")),0)"),73)</f>
        <v>73</v>
      </c>
      <c r="L15" s="1" t="s">
        <v>15</v>
      </c>
      <c r="M15" s="1" t="str">
        <f t="shared" si="1"/>
        <v>APAC</v>
      </c>
      <c r="N15" s="1" t="s">
        <v>16</v>
      </c>
      <c r="O15" s="1" t="s">
        <v>27</v>
      </c>
      <c r="P15" s="1" t="str">
        <f t="shared" si="2"/>
        <v>NETBANKING</v>
      </c>
      <c r="Q15" s="1">
        <f>F15 * VLOOKUP(G15,exchange_rates!B:C,2,FALSE)</f>
        <v>5593</v>
      </c>
      <c r="R15" s="1" t="str">
        <f t="array" ref="R15">INDEX(merchant_master!A:A,MATCH(E15,merchant_master!C:C,0))</f>
        <v>M002</v>
      </c>
      <c r="S15" s="1" t="str">
        <f t="array" ref="S15">INDEX(merchant_master!D:D,MATCH(E15,merchant_master!C:C,0))</f>
        <v>Rohan Mehta</v>
      </c>
      <c r="T15" s="1" t="str">
        <f t="array" ref="T15">INDEX(merchant_master!E:E,MATCH(E15,merchant_master!C:C,0))</f>
        <v>Electronics</v>
      </c>
      <c r="U15" s="1" t="str">
        <f t="array" ref="U15">INDEX(merchant_master!F:F,MATCH(E15,merchant_master!C:C,0))</f>
        <v>APAC</v>
      </c>
      <c r="V15" s="1">
        <f t="shared" si="3"/>
        <v>1</v>
      </c>
      <c r="W15" s="1">
        <f t="shared" ca="1" si="4"/>
        <v>1</v>
      </c>
    </row>
    <row r="16" spans="1:23" ht="15.75" customHeight="1" x14ac:dyDescent="0.3">
      <c r="A16" s="1" t="s">
        <v>61</v>
      </c>
      <c r="B16" s="1" t="s">
        <v>61</v>
      </c>
      <c r="C16" s="2">
        <v>46085</v>
      </c>
      <c r="D16" s="1" t="s">
        <v>34</v>
      </c>
      <c r="E16" s="1" t="str">
        <f t="shared" si="0"/>
        <v>ALPHA MART</v>
      </c>
      <c r="F16" s="1">
        <v>130000</v>
      </c>
      <c r="G16" s="1" t="s">
        <v>12</v>
      </c>
      <c r="H16" s="1" t="s">
        <v>13</v>
      </c>
      <c r="I16" s="1" t="str">
        <f ca="1">IFERROR(__xludf.DUMMYFUNCTION("IF(REGEXMATCH(LOWER(I16),""capture""),""CAPTURED"",IF(REGEXMATCH(LOWER(I16),""chargeback""),""CHARGEBACK"",IF(REGEXMATCH(LOWER(I16),""fail""),""FAILED"",""UNKNOWN"")))"),"CAPTURED")</f>
        <v>CAPTURED</v>
      </c>
      <c r="J16" s="1" t="s">
        <v>62</v>
      </c>
      <c r="K16" s="1">
        <f ca="1">IFERROR(__xludf.DUMMYFUNCTION("IFERROR(VALUE(REGEXEXTRACT(K16,""\d+"")),0)"),52)</f>
        <v>52</v>
      </c>
      <c r="M16" s="1" t="str">
        <f t="shared" si="1"/>
        <v/>
      </c>
      <c r="N16" s="1" t="s">
        <v>21</v>
      </c>
      <c r="O16" s="1" t="s">
        <v>22</v>
      </c>
      <c r="P16" s="1" t="str">
        <f t="shared" si="2"/>
        <v>CARD</v>
      </c>
      <c r="Q16" s="1">
        <f>F16 * VLOOKUP(G16,exchange_rates!B:C,2,FALSE)</f>
        <v>1547</v>
      </c>
      <c r="R16" s="1" t="str">
        <f t="array" ref="R16">INDEX(merchant_master!A:A,MATCH(E16,merchant_master!C:C,0))</f>
        <v>M001</v>
      </c>
      <c r="S16" s="1" t="str">
        <f t="array" ref="S16">INDEX(merchant_master!D:D,MATCH(E16,merchant_master!C:C,0))</f>
        <v>Aisha Khan</v>
      </c>
      <c r="T16" s="1" t="str">
        <f t="array" ref="T16">INDEX(merchant_master!E:E,MATCH(E16,merchant_master!C:C,0))</f>
        <v>Grocery</v>
      </c>
      <c r="U16" s="1" t="str">
        <f t="array" ref="U16">INDEX(merchant_master!F:F,MATCH(E16,merchant_master!C:C,0))</f>
        <v>APAC</v>
      </c>
      <c r="V16" s="1">
        <f t="shared" si="3"/>
        <v>0</v>
      </c>
      <c r="W16" s="1">
        <f t="shared" ca="1" si="4"/>
        <v>0</v>
      </c>
    </row>
    <row r="17" spans="1:23" ht="15.75" customHeight="1" x14ac:dyDescent="0.3">
      <c r="A17" s="1" t="s">
        <v>63</v>
      </c>
      <c r="B17" s="1" t="s">
        <v>63</v>
      </c>
      <c r="C17" s="2">
        <v>46086</v>
      </c>
      <c r="D17" s="1" t="s">
        <v>29</v>
      </c>
      <c r="E17" s="1" t="str">
        <f t="shared" si="0"/>
        <v>BETA STORES</v>
      </c>
      <c r="F17" s="1">
        <v>220000</v>
      </c>
      <c r="G17" s="1" t="s">
        <v>12</v>
      </c>
      <c r="H17" s="1" t="s">
        <v>64</v>
      </c>
      <c r="I17" s="1" t="str">
        <f ca="1">IFERROR(__xludf.DUMMYFUNCTION("IF(REGEXMATCH(LOWER(I17),""capture""),""CAPTURED"",IF(REGEXMATCH(LOWER(I17),""chargeback""),""CHARGEBACK"",IF(REGEXMATCH(LOWER(I17),""fail""),""FAILED"",""UNKNOWN"")))"),"FAILED")</f>
        <v>FAILED</v>
      </c>
      <c r="J17" s="1" t="s">
        <v>65</v>
      </c>
      <c r="K17" s="1">
        <f ca="1">IFERROR(__xludf.DUMMYFUNCTION("IFERROR(VALUE(REGEXEXTRACT(K17,""\d+"")),0)"),69)</f>
        <v>69</v>
      </c>
      <c r="M17" s="1" t="str">
        <f t="shared" si="1"/>
        <v/>
      </c>
      <c r="N17" s="1" t="s">
        <v>52</v>
      </c>
      <c r="O17" s="1" t="s">
        <v>22</v>
      </c>
      <c r="P17" s="1" t="str">
        <f t="shared" si="2"/>
        <v>CARD</v>
      </c>
      <c r="Q17" s="1">
        <f>F17 * VLOOKUP(G17,exchange_rates!B:C,2,FALSE)</f>
        <v>2618</v>
      </c>
      <c r="R17" s="1" t="str">
        <f t="array" ref="R17">INDEX(merchant_master!A:A,MATCH(E17,merchant_master!C:C,0))</f>
        <v>M002</v>
      </c>
      <c r="S17" s="1" t="str">
        <f t="array" ref="S17">INDEX(merchant_master!D:D,MATCH(E17,merchant_master!C:C,0))</f>
        <v>Rohan Mehta</v>
      </c>
      <c r="T17" s="1" t="str">
        <f t="array" ref="T17">INDEX(merchant_master!E:E,MATCH(E17,merchant_master!C:C,0))</f>
        <v>Electronics</v>
      </c>
      <c r="U17" s="1" t="str">
        <f t="array" ref="U17">INDEX(merchant_master!F:F,MATCH(E17,merchant_master!C:C,0))</f>
        <v>APAC</v>
      </c>
      <c r="V17" s="1">
        <f t="shared" si="3"/>
        <v>0</v>
      </c>
      <c r="W17" s="1">
        <f t="shared" ca="1" si="4"/>
        <v>0</v>
      </c>
    </row>
    <row r="18" spans="1:23" ht="15.75" customHeight="1" x14ac:dyDescent="0.3">
      <c r="A18" s="1" t="s">
        <v>66</v>
      </c>
      <c r="B18" s="1" t="s">
        <v>66</v>
      </c>
      <c r="C18" s="2">
        <v>46086</v>
      </c>
      <c r="D18" s="1" t="s">
        <v>29</v>
      </c>
      <c r="E18" s="1" t="str">
        <f t="shared" si="0"/>
        <v>BETA STORES</v>
      </c>
      <c r="F18" s="1">
        <v>180000</v>
      </c>
      <c r="G18" s="1" t="s">
        <v>12</v>
      </c>
      <c r="H18" s="1" t="s">
        <v>67</v>
      </c>
      <c r="I18" s="1" t="str">
        <f ca="1">IFERROR(__xludf.DUMMYFUNCTION("IF(REGEXMATCH(LOWER(I18),""capture""),""CAPTURED"",IF(REGEXMATCH(LOWER(I18),""chargeback""),""CHARGEBACK"",IF(REGEXMATCH(LOWER(I18),""fail""),""FAILED"",""UNKNOWN"")))"),"FAILED")</f>
        <v>FAILED</v>
      </c>
      <c r="J18" s="1" t="s">
        <v>68</v>
      </c>
      <c r="K18" s="1">
        <f ca="1">IFERROR(__xludf.DUMMYFUNCTION("IFERROR(VALUE(REGEXEXTRACT(K18,""\d+"")),0)"),72)</f>
        <v>72</v>
      </c>
      <c r="L18" s="1" t="s">
        <v>31</v>
      </c>
      <c r="M18" s="1" t="str">
        <f t="shared" si="1"/>
        <v>APAC</v>
      </c>
      <c r="N18" s="1" t="s">
        <v>52</v>
      </c>
      <c r="O18" s="1" t="s">
        <v>22</v>
      </c>
      <c r="P18" s="1" t="str">
        <f t="shared" si="2"/>
        <v>CARD</v>
      </c>
      <c r="Q18" s="1">
        <f>F18 * VLOOKUP(G18,exchange_rates!B:C,2,FALSE)</f>
        <v>2142</v>
      </c>
      <c r="R18" s="1" t="str">
        <f t="array" ref="R18">INDEX(merchant_master!A:A,MATCH(E18,merchant_master!C:C,0))</f>
        <v>M002</v>
      </c>
      <c r="S18" s="1" t="str">
        <f t="array" ref="S18">INDEX(merchant_master!D:D,MATCH(E18,merchant_master!C:C,0))</f>
        <v>Rohan Mehta</v>
      </c>
      <c r="T18" s="1" t="str">
        <f t="array" ref="T18">INDEX(merchant_master!E:E,MATCH(E18,merchant_master!C:C,0))</f>
        <v>Electronics</v>
      </c>
      <c r="U18" s="1" t="str">
        <f t="array" ref="U18">INDEX(merchant_master!F:F,MATCH(E18,merchant_master!C:C,0))</f>
        <v>APAC</v>
      </c>
      <c r="V18" s="1">
        <f t="shared" si="3"/>
        <v>0</v>
      </c>
      <c r="W18" s="1">
        <f t="shared" ca="1" si="4"/>
        <v>1</v>
      </c>
    </row>
    <row r="19" spans="1:23" ht="15.75" customHeight="1" x14ac:dyDescent="0.3">
      <c r="A19" s="1" t="s">
        <v>69</v>
      </c>
      <c r="B19" s="1" t="s">
        <v>69</v>
      </c>
      <c r="C19" s="2">
        <v>46086</v>
      </c>
      <c r="D19" s="1" t="s">
        <v>24</v>
      </c>
      <c r="E19" s="1" t="str">
        <f t="shared" si="0"/>
        <v>BETA STORES</v>
      </c>
      <c r="F19" s="1">
        <v>145000</v>
      </c>
      <c r="G19" s="1" t="s">
        <v>12</v>
      </c>
      <c r="H19" s="1" t="s">
        <v>41</v>
      </c>
      <c r="I19" s="1" t="str">
        <f ca="1">IFERROR(__xludf.DUMMYFUNCTION("IF(REGEXMATCH(LOWER(I19),""capture""),""CAPTURED"",IF(REGEXMATCH(LOWER(I19),""chargeback""),""CHARGEBACK"",IF(REGEXMATCH(LOWER(I19),""fail""),""FAILED"",""UNKNOWN"")))"),"CHARGEBACK")</f>
        <v>CHARGEBACK</v>
      </c>
      <c r="J19" s="1" t="s">
        <v>70</v>
      </c>
      <c r="K19" s="1">
        <f ca="1">IFERROR(__xludf.DUMMYFUNCTION("IFERROR(VALUE(REGEXEXTRACT(K19,""\d+"")),0)"),86)</f>
        <v>86</v>
      </c>
      <c r="L19" s="1" t="s">
        <v>15</v>
      </c>
      <c r="M19" s="1" t="str">
        <f t="shared" si="1"/>
        <v>APAC</v>
      </c>
      <c r="N19" s="1" t="s">
        <v>52</v>
      </c>
      <c r="O19" s="1" t="s">
        <v>17</v>
      </c>
      <c r="P19" s="1" t="str">
        <f t="shared" si="2"/>
        <v>UPI</v>
      </c>
      <c r="Q19" s="1">
        <f>F19 * VLOOKUP(G19,exchange_rates!B:C,2,FALSE)</f>
        <v>1725.5000000000002</v>
      </c>
      <c r="R19" s="1" t="str">
        <f t="array" ref="R19">INDEX(merchant_master!A:A,MATCH(E19,merchant_master!C:C,0))</f>
        <v>M002</v>
      </c>
      <c r="S19" s="1" t="str">
        <f t="array" ref="S19">INDEX(merchant_master!D:D,MATCH(E19,merchant_master!C:C,0))</f>
        <v>Rohan Mehta</v>
      </c>
      <c r="T19" s="1" t="str">
        <f t="array" ref="T19">INDEX(merchant_master!E:E,MATCH(E19,merchant_master!C:C,0))</f>
        <v>Electronics</v>
      </c>
      <c r="U19" s="1" t="str">
        <f t="array" ref="U19">INDEX(merchant_master!F:F,MATCH(E19,merchant_master!C:C,0))</f>
        <v>APAC</v>
      </c>
      <c r="V19" s="1">
        <f t="shared" si="3"/>
        <v>0</v>
      </c>
      <c r="W19" s="1">
        <f t="shared" ca="1" si="4"/>
        <v>1</v>
      </c>
    </row>
    <row r="20" spans="1:23" ht="15.75" customHeight="1" x14ac:dyDescent="0.3">
      <c r="A20" s="1" t="s">
        <v>71</v>
      </c>
      <c r="B20" s="1" t="s">
        <v>71</v>
      </c>
      <c r="C20" s="2">
        <v>46086</v>
      </c>
      <c r="D20" s="1" t="s">
        <v>40</v>
      </c>
      <c r="E20" s="1" t="str">
        <f t="shared" si="0"/>
        <v>ALPHA MART</v>
      </c>
      <c r="F20" s="1">
        <v>260000</v>
      </c>
      <c r="G20" s="1" t="s">
        <v>12</v>
      </c>
      <c r="H20" s="1" t="s">
        <v>67</v>
      </c>
      <c r="I20" s="1" t="str">
        <f ca="1">IFERROR(__xludf.DUMMYFUNCTION("IF(REGEXMATCH(LOWER(I20),""capture""),""CAPTURED"",IF(REGEXMATCH(LOWER(I20),""chargeback""),""CHARGEBACK"",IF(REGEXMATCH(LOWER(I20),""fail""),""FAILED"",""UNKNOWN"")))"),"FAILED")</f>
        <v>FAILED</v>
      </c>
      <c r="J20" s="1" t="s">
        <v>72</v>
      </c>
      <c r="K20" s="1">
        <f ca="1">IFERROR(__xludf.DUMMYFUNCTION("IFERROR(VALUE(REGEXEXTRACT(K20,""\d+"")),0)"),67)</f>
        <v>67</v>
      </c>
      <c r="L20" s="1" t="s">
        <v>31</v>
      </c>
      <c r="M20" s="1" t="str">
        <f t="shared" si="1"/>
        <v>APAC</v>
      </c>
      <c r="N20" s="1" t="s">
        <v>52</v>
      </c>
      <c r="O20" s="1" t="s">
        <v>38</v>
      </c>
      <c r="P20" s="1" t="str">
        <f t="shared" si="2"/>
        <v>WALLET</v>
      </c>
      <c r="Q20" s="1">
        <f>F20 * VLOOKUP(G20,exchange_rates!B:C,2,FALSE)</f>
        <v>3094</v>
      </c>
      <c r="R20" s="1" t="str">
        <f t="array" ref="R20">INDEX(merchant_master!A:A,MATCH(E20,merchant_master!C:C,0))</f>
        <v>M001</v>
      </c>
      <c r="S20" s="1" t="str">
        <f t="array" ref="S20">INDEX(merchant_master!D:D,MATCH(E20,merchant_master!C:C,0))</f>
        <v>Aisha Khan</v>
      </c>
      <c r="T20" s="1" t="str">
        <f t="array" ref="T20">INDEX(merchant_master!E:E,MATCH(E20,merchant_master!C:C,0))</f>
        <v>Grocery</v>
      </c>
      <c r="U20" s="1" t="str">
        <f t="array" ref="U20">INDEX(merchant_master!F:F,MATCH(E20,merchant_master!C:C,0))</f>
        <v>APAC</v>
      </c>
      <c r="V20" s="1">
        <f t="shared" si="3"/>
        <v>0</v>
      </c>
      <c r="W20" s="1">
        <f t="shared" ca="1" si="4"/>
        <v>0</v>
      </c>
    </row>
    <row r="21" spans="1:23" ht="15.75" customHeight="1" x14ac:dyDescent="0.3">
      <c r="A21" s="1" t="s">
        <v>73</v>
      </c>
      <c r="B21" s="1" t="s">
        <v>73</v>
      </c>
      <c r="C21" s="2">
        <v>46086</v>
      </c>
      <c r="D21" s="1" t="s">
        <v>34</v>
      </c>
      <c r="E21" s="1" t="str">
        <f t="shared" si="0"/>
        <v>ALPHA MART</v>
      </c>
      <c r="F21" s="1">
        <v>520000</v>
      </c>
      <c r="G21" s="1" t="s">
        <v>12</v>
      </c>
      <c r="H21" s="1" t="s">
        <v>20</v>
      </c>
      <c r="I21" s="1" t="str">
        <f ca="1">IFERROR(__xludf.DUMMYFUNCTION("IF(REGEXMATCH(LOWER(I21),""capture""),""CAPTURED"",IF(REGEXMATCH(LOWER(I21),""chargeback""),""CHARGEBACK"",IF(REGEXMATCH(LOWER(I21),""fail""),""FAILED"",""UNKNOWN"")))"),"CAPTURED")</f>
        <v>CAPTURED</v>
      </c>
      <c r="J21" s="1">
        <v>75</v>
      </c>
      <c r="K21" s="1">
        <v>75</v>
      </c>
      <c r="L21" s="1" t="s">
        <v>15</v>
      </c>
      <c r="M21" s="1" t="str">
        <f t="shared" si="1"/>
        <v>APAC</v>
      </c>
      <c r="N21" s="1" t="s">
        <v>37</v>
      </c>
      <c r="O21" s="1" t="s">
        <v>17</v>
      </c>
      <c r="P21" s="1" t="str">
        <f t="shared" si="2"/>
        <v>UPI</v>
      </c>
      <c r="Q21" s="1">
        <f>F21 * VLOOKUP(G21,exchange_rates!B:C,2,FALSE)</f>
        <v>6188</v>
      </c>
      <c r="R21" s="1" t="str">
        <f t="array" ref="R21">INDEX(merchant_master!A:A,MATCH(E21,merchant_master!C:C,0))</f>
        <v>M001</v>
      </c>
      <c r="S21" s="1" t="str">
        <f t="array" ref="S21">INDEX(merchant_master!D:D,MATCH(E21,merchant_master!C:C,0))</f>
        <v>Aisha Khan</v>
      </c>
      <c r="T21" s="1" t="str">
        <f t="array" ref="T21">INDEX(merchant_master!E:E,MATCH(E21,merchant_master!C:C,0))</f>
        <v>Grocery</v>
      </c>
      <c r="U21" s="1" t="str">
        <f t="array" ref="U21">INDEX(merchant_master!F:F,MATCH(E21,merchant_master!C:C,0))</f>
        <v>APAC</v>
      </c>
      <c r="V21" s="1">
        <f t="shared" si="3"/>
        <v>1</v>
      </c>
      <c r="W21" s="1">
        <f t="shared" ca="1" si="4"/>
        <v>1</v>
      </c>
    </row>
    <row r="22" spans="1:23" ht="15.75" customHeight="1" x14ac:dyDescent="0.3">
      <c r="A22" s="1" t="s">
        <v>74</v>
      </c>
      <c r="B22" s="1" t="s">
        <v>74</v>
      </c>
      <c r="C22" s="2">
        <v>46087</v>
      </c>
      <c r="D22" s="1" t="s">
        <v>75</v>
      </c>
      <c r="E22" s="1" t="str">
        <f t="shared" si="0"/>
        <v>BETA STORES</v>
      </c>
      <c r="F22" s="1">
        <v>330000</v>
      </c>
      <c r="G22" s="1" t="s">
        <v>12</v>
      </c>
      <c r="H22" s="1" t="s">
        <v>13</v>
      </c>
      <c r="I22" s="1" t="str">
        <f ca="1">IFERROR(__xludf.DUMMYFUNCTION("IF(REGEXMATCH(LOWER(I22),""capture""),""CAPTURED"",IF(REGEXMATCH(LOWER(I22),""chargeback""),""CHARGEBACK"",IF(REGEXMATCH(LOWER(I22),""fail""),""FAILED"",""UNKNOWN"")))"),"CAPTURED")</f>
        <v>CAPTURED</v>
      </c>
      <c r="J22" s="1" t="s">
        <v>76</v>
      </c>
      <c r="K22" s="1">
        <f ca="1">IFERROR(__xludf.DUMMYFUNCTION("IFERROR(VALUE(REGEXEXTRACT(K22,""\d+"")),0)"),63)</f>
        <v>63</v>
      </c>
      <c r="M22" s="1" t="str">
        <f t="shared" si="1"/>
        <v/>
      </c>
      <c r="N22" s="1" t="s">
        <v>43</v>
      </c>
      <c r="O22" s="1" t="s">
        <v>22</v>
      </c>
      <c r="P22" s="1" t="str">
        <f t="shared" si="2"/>
        <v>CARD</v>
      </c>
      <c r="Q22" s="1">
        <f>F22 * VLOOKUP(G22,exchange_rates!B:C,2,FALSE)</f>
        <v>3927.0000000000005</v>
      </c>
      <c r="R22" s="1" t="str">
        <f t="array" ref="R22">INDEX(merchant_master!A:A,MATCH(E22,merchant_master!C:C,0))</f>
        <v>M002</v>
      </c>
      <c r="S22" s="1" t="str">
        <f t="array" ref="S22">INDEX(merchant_master!D:D,MATCH(E22,merchant_master!C:C,0))</f>
        <v>Rohan Mehta</v>
      </c>
      <c r="T22" s="1" t="str">
        <f t="array" ref="T22">INDEX(merchant_master!E:E,MATCH(E22,merchant_master!C:C,0))</f>
        <v>Electronics</v>
      </c>
      <c r="U22" s="1" t="str">
        <f t="array" ref="U22">INDEX(merchant_master!F:F,MATCH(E22,merchant_master!C:C,0))</f>
        <v>APAC</v>
      </c>
      <c r="V22" s="1">
        <f t="shared" si="3"/>
        <v>0</v>
      </c>
      <c r="W22" s="1">
        <f t="shared" ca="1" si="4"/>
        <v>0</v>
      </c>
    </row>
    <row r="23" spans="1:23" ht="15.75" customHeight="1" x14ac:dyDescent="0.3">
      <c r="A23" s="1" t="s">
        <v>77</v>
      </c>
      <c r="B23" s="1" t="s">
        <v>77</v>
      </c>
      <c r="C23" s="2">
        <v>46087</v>
      </c>
      <c r="D23" s="1" t="s">
        <v>19</v>
      </c>
      <c r="E23" s="1" t="str">
        <f t="shared" si="0"/>
        <v>ALPHA MART</v>
      </c>
      <c r="F23" s="1">
        <v>410000</v>
      </c>
      <c r="G23" s="1" t="s">
        <v>12</v>
      </c>
      <c r="H23" s="1" t="s">
        <v>13</v>
      </c>
      <c r="I23" s="1" t="str">
        <f ca="1">IFERROR(__xludf.DUMMYFUNCTION("IF(REGEXMATCH(LOWER(I23),""capture""),""CAPTURED"",IF(REGEXMATCH(LOWER(I23),""chargeback""),""CHARGEBACK"",IF(REGEXMATCH(LOWER(I23),""fail""),""FAILED"",""UNKNOWN"")))"),"CAPTURED")</f>
        <v>CAPTURED</v>
      </c>
      <c r="J23" s="1">
        <v>60</v>
      </c>
      <c r="K23" s="1">
        <v>60</v>
      </c>
      <c r="L23" s="1" t="s">
        <v>15</v>
      </c>
      <c r="M23" s="1" t="str">
        <f t="shared" si="1"/>
        <v>APAC</v>
      </c>
      <c r="N23" s="1" t="s">
        <v>45</v>
      </c>
      <c r="O23" s="1" t="s">
        <v>17</v>
      </c>
      <c r="P23" s="1" t="str">
        <f t="shared" si="2"/>
        <v>UPI</v>
      </c>
      <c r="Q23" s="1">
        <f>F23 * VLOOKUP(G23,exchange_rates!B:C,2,FALSE)</f>
        <v>4879</v>
      </c>
      <c r="R23" s="1" t="str">
        <f t="array" ref="R23">INDEX(merchant_master!A:A,MATCH(E23,merchant_master!C:C,0))</f>
        <v>M001</v>
      </c>
      <c r="S23" s="1" t="str">
        <f t="array" ref="S23">INDEX(merchant_master!D:D,MATCH(E23,merchant_master!C:C,0))</f>
        <v>Aisha Khan</v>
      </c>
      <c r="T23" s="1" t="str">
        <f t="array" ref="T23">INDEX(merchant_master!E:E,MATCH(E23,merchant_master!C:C,0))</f>
        <v>Grocery</v>
      </c>
      <c r="U23" s="1" t="str">
        <f t="array" ref="U23">INDEX(merchant_master!F:F,MATCH(E23,merchant_master!C:C,0))</f>
        <v>APAC</v>
      </c>
      <c r="V23" s="1">
        <f t="shared" si="3"/>
        <v>0</v>
      </c>
      <c r="W23" s="1">
        <f t="shared" ca="1" si="4"/>
        <v>0</v>
      </c>
    </row>
    <row r="24" spans="1:23" ht="15.75" customHeight="1" x14ac:dyDescent="0.3">
      <c r="A24" s="1" t="s">
        <v>78</v>
      </c>
      <c r="B24" s="1" t="s">
        <v>78</v>
      </c>
      <c r="C24" s="2">
        <v>46082</v>
      </c>
      <c r="D24" s="1" t="s">
        <v>79</v>
      </c>
      <c r="E24" s="1" t="str">
        <f t="shared" si="0"/>
        <v>CITY PHARMA</v>
      </c>
      <c r="F24" s="1">
        <v>5200</v>
      </c>
      <c r="G24" s="1" t="s">
        <v>80</v>
      </c>
      <c r="H24" s="1" t="s">
        <v>20</v>
      </c>
      <c r="I24" s="1" t="str">
        <f ca="1">IFERROR(__xludf.DUMMYFUNCTION("IF(REGEXMATCH(LOWER(I24),""capture""),""CAPTURED"",IF(REGEXMATCH(LOWER(I24),""chargeback""),""CHARGEBACK"",IF(REGEXMATCH(LOWER(I24),""fail""),""FAILED"",""UNKNOWN"")))"),"CAPTURED")</f>
        <v>CAPTURED</v>
      </c>
      <c r="J24" s="1">
        <v>42</v>
      </c>
      <c r="K24" s="1">
        <v>42</v>
      </c>
      <c r="L24" s="1" t="s">
        <v>81</v>
      </c>
      <c r="M24" s="1" t="str">
        <f t="shared" si="1"/>
        <v>EU</v>
      </c>
      <c r="N24" s="1" t="s">
        <v>26</v>
      </c>
      <c r="O24" s="1" t="s">
        <v>22</v>
      </c>
      <c r="P24" s="1" t="str">
        <f t="shared" si="2"/>
        <v>CARD</v>
      </c>
      <c r="Q24" s="1">
        <f>F24 * VLOOKUP(G24,exchange_rates!B:C,2,FALSE)</f>
        <v>5616</v>
      </c>
      <c r="R24" s="1" t="str">
        <f t="array" ref="R24">INDEX(merchant_master!A:A,MATCH(E24,merchant_master!C:C,0))</f>
        <v>M003</v>
      </c>
      <c r="S24" s="1" t="str">
        <f t="array" ref="S24">INDEX(merchant_master!D:D,MATCH(E24,merchant_master!C:C,0))</f>
        <v>Elena Rossi</v>
      </c>
      <c r="T24" s="1" t="str">
        <f t="array" ref="T24">INDEX(merchant_master!E:E,MATCH(E24,merchant_master!C:C,0))</f>
        <v>Healthcare</v>
      </c>
      <c r="U24" s="1" t="str">
        <f t="array" ref="U24">INDEX(merchant_master!F:F,MATCH(E24,merchant_master!C:C,0))</f>
        <v>EU</v>
      </c>
      <c r="V24" s="1">
        <f t="shared" si="3"/>
        <v>0</v>
      </c>
      <c r="W24" s="1">
        <f t="shared" ca="1" si="4"/>
        <v>0</v>
      </c>
    </row>
    <row r="25" spans="1:23" ht="15.75" customHeight="1" x14ac:dyDescent="0.3">
      <c r="A25" s="1" t="s">
        <v>82</v>
      </c>
      <c r="B25" s="1" t="s">
        <v>82</v>
      </c>
      <c r="C25" s="2">
        <v>46083</v>
      </c>
      <c r="D25" s="1" t="s">
        <v>83</v>
      </c>
      <c r="E25" s="1" t="str">
        <f t="shared" si="0"/>
        <v>ECO HOME</v>
      </c>
      <c r="F25" s="1">
        <v>6100</v>
      </c>
      <c r="G25" s="1" t="s">
        <v>80</v>
      </c>
      <c r="H25" s="1" t="s">
        <v>41</v>
      </c>
      <c r="I25" s="1" t="str">
        <f ca="1">IFERROR(__xludf.DUMMYFUNCTION("IF(REGEXMATCH(LOWER(I25),""capture""),""CAPTURED"",IF(REGEXMATCH(LOWER(I25),""chargeback""),""CHARGEBACK"",IF(REGEXMATCH(LOWER(I25),""fail""),""FAILED"",""UNKNOWN"")))"),"CHARGEBACK")</f>
        <v>CHARGEBACK</v>
      </c>
      <c r="J25" s="1" t="s">
        <v>84</v>
      </c>
      <c r="K25" s="1">
        <f ca="1">IFERROR(__xludf.DUMMYFUNCTION("IFERROR(VALUE(REGEXEXTRACT(K25,""\d+"")),0)"),65)</f>
        <v>65</v>
      </c>
      <c r="L25" s="1" t="s">
        <v>81</v>
      </c>
      <c r="M25" s="1" t="str">
        <f t="shared" si="1"/>
        <v>EU</v>
      </c>
      <c r="N25" s="1" t="s">
        <v>32</v>
      </c>
      <c r="O25" s="1" t="s">
        <v>22</v>
      </c>
      <c r="P25" s="1" t="str">
        <f t="shared" si="2"/>
        <v>CARD</v>
      </c>
      <c r="Q25" s="1">
        <f>F25 * VLOOKUP(G25,exchange_rates!B:C,2,FALSE)</f>
        <v>6588</v>
      </c>
      <c r="R25" s="1" t="str">
        <f t="array" ref="R25">INDEX(merchant_master!A:A,MATCH(E25,merchant_master!C:C,0))</f>
        <v>M005</v>
      </c>
      <c r="S25" s="1" t="str">
        <f t="array" ref="S25">INDEX(merchant_master!D:D,MATCH(E25,merchant_master!C:C,0))</f>
        <v>Nina Weber</v>
      </c>
      <c r="T25" s="1" t="str">
        <f t="array" ref="T25">INDEX(merchant_master!E:E,MATCH(E25,merchant_master!C:C,0))</f>
        <v>Home</v>
      </c>
      <c r="U25" s="1" t="str">
        <f t="array" ref="U25">INDEX(merchant_master!F:F,MATCH(E25,merchant_master!C:C,0))</f>
        <v>EU</v>
      </c>
      <c r="V25" s="1">
        <f t="shared" si="3"/>
        <v>1</v>
      </c>
      <c r="W25" s="1">
        <f t="shared" ca="1" si="4"/>
        <v>1</v>
      </c>
    </row>
    <row r="26" spans="1:23" ht="15.75" customHeight="1" x14ac:dyDescent="0.3">
      <c r="A26" s="1" t="s">
        <v>85</v>
      </c>
      <c r="B26" s="1" t="s">
        <v>85</v>
      </c>
      <c r="C26" s="2">
        <v>46084</v>
      </c>
      <c r="D26" s="1" t="s">
        <v>79</v>
      </c>
      <c r="E26" s="1" t="str">
        <f t="shared" si="0"/>
        <v>CITY PHARMA</v>
      </c>
      <c r="F26" s="1">
        <v>2800</v>
      </c>
      <c r="G26" s="1" t="s">
        <v>80</v>
      </c>
      <c r="H26" s="1" t="s">
        <v>13</v>
      </c>
      <c r="I26" s="1" t="str">
        <f ca="1">IFERROR(__xludf.DUMMYFUNCTION("IF(REGEXMATCH(LOWER(I26),""capture""),""CAPTURED"",IF(REGEXMATCH(LOWER(I26),""chargeback""),""CHARGEBACK"",IF(REGEXMATCH(LOWER(I26),""fail""),""FAILED"",""UNKNOWN"")))"),"CAPTURED")</f>
        <v>CAPTURED</v>
      </c>
      <c r="J26" s="1">
        <v>38</v>
      </c>
      <c r="K26" s="1">
        <v>38</v>
      </c>
      <c r="L26" s="1" t="s">
        <v>86</v>
      </c>
      <c r="M26" s="1" t="str">
        <f t="shared" si="1"/>
        <v>EU</v>
      </c>
      <c r="N26" s="1" t="s">
        <v>37</v>
      </c>
      <c r="O26" s="1" t="s">
        <v>38</v>
      </c>
      <c r="P26" s="1" t="str">
        <f t="shared" si="2"/>
        <v>WALLET</v>
      </c>
      <c r="Q26" s="1">
        <f>F26 * VLOOKUP(G26,exchange_rates!B:C,2,FALSE)</f>
        <v>3024</v>
      </c>
      <c r="R26" s="1" t="str">
        <f t="array" ref="R26">INDEX(merchant_master!A:A,MATCH(E26,merchant_master!C:C,0))</f>
        <v>M003</v>
      </c>
      <c r="S26" s="1" t="str">
        <f t="array" ref="S26">INDEX(merchant_master!D:D,MATCH(E26,merchant_master!C:C,0))</f>
        <v>Elena Rossi</v>
      </c>
      <c r="T26" s="1" t="str">
        <f t="array" ref="T26">INDEX(merchant_master!E:E,MATCH(E26,merchant_master!C:C,0))</f>
        <v>Healthcare</v>
      </c>
      <c r="U26" s="1" t="str">
        <f t="array" ref="U26">INDEX(merchant_master!F:F,MATCH(E26,merchant_master!C:C,0))</f>
        <v>EU</v>
      </c>
      <c r="V26" s="1">
        <f t="shared" si="3"/>
        <v>0</v>
      </c>
      <c r="W26" s="1">
        <f t="shared" ca="1" si="4"/>
        <v>0</v>
      </c>
    </row>
    <row r="27" spans="1:23" ht="15.75" customHeight="1" x14ac:dyDescent="0.3">
      <c r="A27" s="1" t="s">
        <v>87</v>
      </c>
      <c r="B27" s="1" t="s">
        <v>87</v>
      </c>
      <c r="C27" s="2">
        <v>46086</v>
      </c>
      <c r="D27" s="1" t="s">
        <v>83</v>
      </c>
      <c r="E27" s="1" t="str">
        <f t="shared" si="0"/>
        <v>ECO HOME</v>
      </c>
      <c r="F27" s="1">
        <v>3300</v>
      </c>
      <c r="G27" s="1" t="s">
        <v>80</v>
      </c>
      <c r="H27" s="1" t="s">
        <v>67</v>
      </c>
      <c r="I27" s="1" t="str">
        <f ca="1">IFERROR(__xludf.DUMMYFUNCTION("IF(REGEXMATCH(LOWER(I27),""capture""),""CAPTURED"",IF(REGEXMATCH(LOWER(I27),""chargeback""),""CHARGEBACK"",IF(REGEXMATCH(LOWER(I27),""fail""),""FAILED"",""UNKNOWN"")))"),"FAILED")</f>
        <v>FAILED</v>
      </c>
      <c r="J27" s="1">
        <v>44</v>
      </c>
      <c r="K27" s="1">
        <v>44</v>
      </c>
      <c r="L27" s="1" t="s">
        <v>81</v>
      </c>
      <c r="M27" s="1" t="str">
        <f t="shared" si="1"/>
        <v>EU</v>
      </c>
      <c r="N27" s="1" t="s">
        <v>43</v>
      </c>
      <c r="O27" s="1" t="s">
        <v>27</v>
      </c>
      <c r="P27" s="1" t="str">
        <f t="shared" si="2"/>
        <v>NETBANKING</v>
      </c>
      <c r="Q27" s="1">
        <f>F27 * VLOOKUP(G27,exchange_rates!B:C,2,FALSE)</f>
        <v>3564.0000000000005</v>
      </c>
      <c r="R27" s="1" t="str">
        <f t="array" ref="R27">INDEX(merchant_master!A:A,MATCH(E27,merchant_master!C:C,0))</f>
        <v>M005</v>
      </c>
      <c r="S27" s="1" t="str">
        <f t="array" ref="S27">INDEX(merchant_master!D:D,MATCH(E27,merchant_master!C:C,0))</f>
        <v>Nina Weber</v>
      </c>
      <c r="T27" s="1" t="str">
        <f t="array" ref="T27">INDEX(merchant_master!E:E,MATCH(E27,merchant_master!C:C,0))</f>
        <v>Home</v>
      </c>
      <c r="U27" s="1" t="str">
        <f t="array" ref="U27">INDEX(merchant_master!F:F,MATCH(E27,merchant_master!C:C,0))</f>
        <v>EU</v>
      </c>
      <c r="V27" s="1">
        <f t="shared" si="3"/>
        <v>0</v>
      </c>
      <c r="W27" s="1">
        <f t="shared" ca="1" si="4"/>
        <v>0</v>
      </c>
    </row>
    <row r="28" spans="1:23" ht="15.75" customHeight="1" x14ac:dyDescent="0.3">
      <c r="A28" s="1" t="s">
        <v>88</v>
      </c>
      <c r="B28" s="1" t="s">
        <v>88</v>
      </c>
      <c r="C28" s="2">
        <v>46082</v>
      </c>
      <c r="D28" s="1" t="s">
        <v>89</v>
      </c>
      <c r="E28" s="1" t="str">
        <f t="shared" si="0"/>
        <v>DELTA TRAVELS</v>
      </c>
      <c r="F28" s="1">
        <v>7200</v>
      </c>
      <c r="G28" s="1" t="s">
        <v>90</v>
      </c>
      <c r="H28" s="1" t="s">
        <v>13</v>
      </c>
      <c r="I28" s="1" t="str">
        <f ca="1">IFERROR(__xludf.DUMMYFUNCTION("IF(REGEXMATCH(LOWER(I28),""capture""),""CAPTURED"",IF(REGEXMATCH(LOWER(I28),""chargeback""),""CHARGEBACK"",IF(REGEXMATCH(LOWER(I28),""fail""),""FAILED"",""UNKNOWN"")))"),"CAPTURED")</f>
        <v>CAPTURED</v>
      </c>
      <c r="J28" s="1">
        <v>49</v>
      </c>
      <c r="K28" s="1">
        <v>49</v>
      </c>
      <c r="L28" s="1" t="s">
        <v>91</v>
      </c>
      <c r="M28" s="1" t="str">
        <f t="shared" si="1"/>
        <v>US</v>
      </c>
      <c r="N28" s="1" t="s">
        <v>45</v>
      </c>
      <c r="O28" s="1" t="s">
        <v>22</v>
      </c>
      <c r="P28" s="1" t="str">
        <f t="shared" si="2"/>
        <v>CARD</v>
      </c>
      <c r="Q28" s="1">
        <f>F28 * VLOOKUP(G28,exchange_rates!B:C,2,FALSE)</f>
        <v>7200</v>
      </c>
      <c r="R28" s="1" t="str">
        <f t="array" ref="R28">INDEX(merchant_master!A:A,MATCH(E28,merchant_master!C:C,0))</f>
        <v>M004</v>
      </c>
      <c r="S28" s="1" t="str">
        <f t="array" ref="S28">INDEX(merchant_master!D:D,MATCH(E28,merchant_master!C:C,0))</f>
        <v>Marcus Lee</v>
      </c>
      <c r="T28" s="1" t="str">
        <f t="array" ref="T28">INDEX(merchant_master!E:E,MATCH(E28,merchant_master!C:C,0))</f>
        <v>Travel</v>
      </c>
      <c r="U28" s="1" t="str">
        <f t="array" ref="U28">INDEX(merchant_master!F:F,MATCH(E28,merchant_master!C:C,0))</f>
        <v>US</v>
      </c>
      <c r="V28" s="1">
        <f t="shared" si="3"/>
        <v>1</v>
      </c>
      <c r="W28" s="1">
        <f t="shared" ca="1" si="4"/>
        <v>0</v>
      </c>
    </row>
    <row r="29" spans="1:23" ht="15.75" customHeight="1" x14ac:dyDescent="0.3">
      <c r="A29" s="1" t="s">
        <v>92</v>
      </c>
      <c r="B29" s="1" t="s">
        <v>92</v>
      </c>
      <c r="C29" s="2">
        <v>46083</v>
      </c>
      <c r="D29" s="1" t="s">
        <v>93</v>
      </c>
      <c r="E29" s="1" t="str">
        <f t="shared" si="0"/>
        <v>DELTA TRAVELS</v>
      </c>
      <c r="F29" s="1">
        <v>3100</v>
      </c>
      <c r="G29" s="1" t="s">
        <v>90</v>
      </c>
      <c r="H29" s="1" t="s">
        <v>25</v>
      </c>
      <c r="I29" s="1" t="str">
        <f ca="1">IFERROR(__xludf.DUMMYFUNCTION("IF(REGEXMATCH(LOWER(I29),""capture""),""CAPTURED"",IF(REGEXMATCH(LOWER(I29),""chargeback""),""CHARGEBACK"",IF(REGEXMATCH(LOWER(I29),""fail""),""FAILED"",""UNKNOWN"")))"),"CAPTURED")</f>
        <v>CAPTURED</v>
      </c>
      <c r="J29" s="1" t="s">
        <v>94</v>
      </c>
      <c r="K29" s="1">
        <f ca="1">IFERROR(__xludf.DUMMYFUNCTION("IFERROR(VALUE(REGEXEXTRACT(K29,""\d+"")),0)"),41)</f>
        <v>41</v>
      </c>
      <c r="L29" s="1" t="s">
        <v>95</v>
      </c>
      <c r="M29" s="1" t="str">
        <f t="shared" si="1"/>
        <v>US</v>
      </c>
      <c r="N29" s="1" t="s">
        <v>52</v>
      </c>
      <c r="O29" s="1" t="s">
        <v>22</v>
      </c>
      <c r="P29" s="1" t="str">
        <f t="shared" si="2"/>
        <v>CARD</v>
      </c>
      <c r="Q29" s="1">
        <f>F29 * VLOOKUP(G29,exchange_rates!B:C,2,FALSE)</f>
        <v>3100</v>
      </c>
      <c r="R29" s="1" t="str">
        <f t="array" ref="R29">INDEX(merchant_master!A:A,MATCH(E29,merchant_master!C:C,0))</f>
        <v>M004</v>
      </c>
      <c r="S29" s="1" t="str">
        <f t="array" ref="S29">INDEX(merchant_master!D:D,MATCH(E29,merchant_master!C:C,0))</f>
        <v>Marcus Lee</v>
      </c>
      <c r="T29" s="1" t="str">
        <f t="array" ref="T29">INDEX(merchant_master!E:E,MATCH(E29,merchant_master!C:C,0))</f>
        <v>Travel</v>
      </c>
      <c r="U29" s="1" t="str">
        <f t="array" ref="U29">INDEX(merchant_master!F:F,MATCH(E29,merchant_master!C:C,0))</f>
        <v>US</v>
      </c>
      <c r="V29" s="1">
        <f t="shared" si="3"/>
        <v>0</v>
      </c>
      <c r="W29" s="1">
        <f t="shared" ca="1" si="4"/>
        <v>0</v>
      </c>
    </row>
    <row r="30" spans="1:23" ht="12.45" x14ac:dyDescent="0.3">
      <c r="A30" s="1" t="s">
        <v>96</v>
      </c>
      <c r="B30" s="1" t="s">
        <v>96</v>
      </c>
      <c r="C30" s="2">
        <v>46085</v>
      </c>
      <c r="D30" s="1" t="s">
        <v>97</v>
      </c>
      <c r="E30" s="1" t="str">
        <f t="shared" si="0"/>
        <v>DELTA TRAVELS</v>
      </c>
      <c r="F30" s="1">
        <v>2500</v>
      </c>
      <c r="G30" s="1" t="s">
        <v>90</v>
      </c>
      <c r="H30" s="1" t="s">
        <v>41</v>
      </c>
      <c r="I30" s="1" t="str">
        <f ca="1">IFERROR(__xludf.DUMMYFUNCTION("IF(REGEXMATCH(LOWER(I30),""capture""),""CAPTURED"",IF(REGEXMATCH(LOWER(I30),""chargeback""),""CHARGEBACK"",IF(REGEXMATCH(LOWER(I30),""fail""),""FAILED"",""UNKNOWN"")))"),"CHARGEBACK")</f>
        <v>CHARGEBACK</v>
      </c>
      <c r="J30" s="1" t="s">
        <v>98</v>
      </c>
      <c r="K30" s="1">
        <f ca="1">IFERROR(__xludf.DUMMYFUNCTION("IFERROR(VALUE(REGEXEXTRACT(K30,""\d+"")),0)"),58)</f>
        <v>58</v>
      </c>
      <c r="L30" s="1" t="s">
        <v>95</v>
      </c>
      <c r="M30" s="1" t="str">
        <f t="shared" si="1"/>
        <v>US</v>
      </c>
      <c r="N30" s="1" t="s">
        <v>55</v>
      </c>
      <c r="O30" s="1" t="s">
        <v>38</v>
      </c>
      <c r="P30" s="1" t="str">
        <f t="shared" si="2"/>
        <v>WALLET</v>
      </c>
      <c r="Q30" s="1">
        <f>F30 * VLOOKUP(G30,exchange_rates!B:C,2,FALSE)</f>
        <v>2500</v>
      </c>
      <c r="R30" s="1" t="str">
        <f t="array" ref="R30">INDEX(merchant_master!A:A,MATCH(E30,merchant_master!C:C,0))</f>
        <v>M004</v>
      </c>
      <c r="S30" s="1" t="str">
        <f t="array" ref="S30">INDEX(merchant_master!D:D,MATCH(E30,merchant_master!C:C,0))</f>
        <v>Marcus Lee</v>
      </c>
      <c r="T30" s="1" t="str">
        <f t="array" ref="T30">INDEX(merchant_master!E:E,MATCH(E30,merchant_master!C:C,0))</f>
        <v>Travel</v>
      </c>
      <c r="U30" s="1" t="str">
        <f t="array" ref="U30">INDEX(merchant_master!F:F,MATCH(E30,merchant_master!C:C,0))</f>
        <v>US</v>
      </c>
      <c r="V30" s="1">
        <f t="shared" si="3"/>
        <v>0</v>
      </c>
      <c r="W30" s="1">
        <f t="shared" ca="1" si="4"/>
        <v>1</v>
      </c>
    </row>
    <row r="31" spans="1:23" ht="12.45" x14ac:dyDescent="0.3">
      <c r="A31" s="1" t="s">
        <v>99</v>
      </c>
      <c r="B31" s="1" t="s">
        <v>99</v>
      </c>
      <c r="C31" s="2">
        <v>46087</v>
      </c>
      <c r="D31" s="1" t="s">
        <v>89</v>
      </c>
      <c r="E31" s="1" t="str">
        <f t="shared" si="0"/>
        <v>DELTA TRAVELS</v>
      </c>
      <c r="F31" s="1">
        <v>1800</v>
      </c>
      <c r="G31" s="1" t="s">
        <v>90</v>
      </c>
      <c r="H31" s="1" t="s">
        <v>67</v>
      </c>
      <c r="I31" s="1" t="str">
        <f ca="1">IFERROR(__xludf.DUMMYFUNCTION("IF(REGEXMATCH(LOWER(I31),""capture""),""CAPTURED"",IF(REGEXMATCH(LOWER(I31),""chargeback""),""CHARGEBACK"",IF(REGEXMATCH(LOWER(I31),""fail""),""FAILED"",""UNKNOWN"")))"),"FAILED")</f>
        <v>FAILED</v>
      </c>
      <c r="J31" s="1" t="s">
        <v>100</v>
      </c>
      <c r="K31" s="1">
        <v>47</v>
      </c>
      <c r="L31" s="1" t="s">
        <v>95</v>
      </c>
      <c r="M31" s="1" t="str">
        <f t="shared" si="1"/>
        <v>US</v>
      </c>
      <c r="N31" s="1" t="s">
        <v>58</v>
      </c>
      <c r="O31" s="1" t="s">
        <v>17</v>
      </c>
      <c r="P31" s="1" t="str">
        <f t="shared" si="2"/>
        <v>UPI</v>
      </c>
      <c r="Q31" s="1">
        <f>F31 * VLOOKUP(G31,exchange_rates!B:C,2,FALSE)</f>
        <v>1800</v>
      </c>
      <c r="R31" s="1" t="str">
        <f t="array" ref="R31">INDEX(merchant_master!A:A,MATCH(E31,merchant_master!C:C,0))</f>
        <v>M004</v>
      </c>
      <c r="S31" s="1" t="str">
        <f t="array" ref="S31">INDEX(merchant_master!D:D,MATCH(E31,merchant_master!C:C,0))</f>
        <v>Marcus Lee</v>
      </c>
      <c r="T31" s="1" t="str">
        <f t="array" ref="T31">INDEX(merchant_master!E:E,MATCH(E31,merchant_master!C:C,0))</f>
        <v>Travel</v>
      </c>
      <c r="U31" s="1" t="str">
        <f t="array" ref="U31">INDEX(merchant_master!F:F,MATCH(E31,merchant_master!C:C,0))</f>
        <v>US</v>
      </c>
      <c r="V31" s="1">
        <f t="shared" si="3"/>
        <v>0</v>
      </c>
      <c r="W31" s="1">
        <f t="shared" ca="1" si="4"/>
        <v>0</v>
      </c>
    </row>
    <row r="33" spans="1:32" ht="12.45" x14ac:dyDescent="0.3">
      <c r="A33" s="3" t="s">
        <v>113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5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5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</sheetData>
  <mergeCells count="1">
    <mergeCell ref="A33:A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9"/>
  <sheetViews>
    <sheetView workbookViewId="0"/>
  </sheetViews>
  <sheetFormatPr defaultColWidth="12.61328125" defaultRowHeight="15.75" customHeight="1" x14ac:dyDescent="0.3"/>
  <sheetData>
    <row r="1" spans="1:3" ht="15.75" customHeight="1" x14ac:dyDescent="0.3">
      <c r="A1" s="1" t="s">
        <v>114</v>
      </c>
      <c r="B1" s="1" t="s">
        <v>4</v>
      </c>
      <c r="C1" s="1" t="s">
        <v>115</v>
      </c>
    </row>
    <row r="2" spans="1:3" ht="15.75" customHeight="1" x14ac:dyDescent="0.3">
      <c r="A2" s="2">
        <v>46082</v>
      </c>
      <c r="B2" s="1" t="s">
        <v>12</v>
      </c>
      <c r="C2" s="1">
        <v>1.1900000000000001E-2</v>
      </c>
    </row>
    <row r="3" spans="1:3" ht="15.75" customHeight="1" x14ac:dyDescent="0.3">
      <c r="A3" s="2">
        <v>46082</v>
      </c>
      <c r="B3" s="1" t="s">
        <v>80</v>
      </c>
      <c r="C3" s="1">
        <v>1.08</v>
      </c>
    </row>
    <row r="4" spans="1:3" ht="15.75" customHeight="1" x14ac:dyDescent="0.3">
      <c r="A4" s="2">
        <v>46082</v>
      </c>
      <c r="B4" s="1" t="s">
        <v>90</v>
      </c>
      <c r="C4" s="1">
        <v>1</v>
      </c>
    </row>
    <row r="5" spans="1:3" ht="15.75" customHeight="1" x14ac:dyDescent="0.3">
      <c r="A5" s="2">
        <v>46083</v>
      </c>
      <c r="B5" s="1" t="s">
        <v>12</v>
      </c>
      <c r="C5" s="1">
        <v>1.2E-2</v>
      </c>
    </row>
    <row r="6" spans="1:3" ht="15.75" customHeight="1" x14ac:dyDescent="0.3">
      <c r="A6" s="2">
        <v>46083</v>
      </c>
      <c r="B6" s="1" t="s">
        <v>80</v>
      </c>
      <c r="C6" s="1">
        <v>1.0900000000000001</v>
      </c>
    </row>
    <row r="7" spans="1:3" ht="15.75" customHeight="1" x14ac:dyDescent="0.3">
      <c r="A7" s="2">
        <v>46083</v>
      </c>
      <c r="B7" s="1" t="s">
        <v>90</v>
      </c>
      <c r="C7" s="1">
        <v>1</v>
      </c>
    </row>
    <row r="8" spans="1:3" ht="15.75" customHeight="1" x14ac:dyDescent="0.3">
      <c r="A8" s="2">
        <v>46084</v>
      </c>
      <c r="B8" s="1" t="s">
        <v>12</v>
      </c>
      <c r="C8" s="1">
        <v>1.21E-2</v>
      </c>
    </row>
    <row r="9" spans="1:3" ht="15.75" customHeight="1" x14ac:dyDescent="0.3">
      <c r="A9" s="2">
        <v>46084</v>
      </c>
      <c r="B9" s="1" t="s">
        <v>80</v>
      </c>
      <c r="C9" s="1">
        <v>1.08</v>
      </c>
    </row>
    <row r="10" spans="1:3" ht="15.75" customHeight="1" x14ac:dyDescent="0.3">
      <c r="A10" s="2">
        <v>46084</v>
      </c>
      <c r="B10" s="1" t="s">
        <v>90</v>
      </c>
      <c r="C10" s="1">
        <v>1</v>
      </c>
    </row>
    <row r="11" spans="1:3" ht="15.75" customHeight="1" x14ac:dyDescent="0.3">
      <c r="A11" s="2">
        <v>46085</v>
      </c>
      <c r="B11" s="1" t="s">
        <v>12</v>
      </c>
      <c r="C11" s="1">
        <v>1.2E-2</v>
      </c>
    </row>
    <row r="12" spans="1:3" ht="15.75" customHeight="1" x14ac:dyDescent="0.3">
      <c r="A12" s="2">
        <v>46085</v>
      </c>
      <c r="B12" s="1" t="s">
        <v>80</v>
      </c>
      <c r="C12" s="1">
        <v>1.07</v>
      </c>
    </row>
    <row r="13" spans="1:3" ht="15.75" customHeight="1" x14ac:dyDescent="0.3">
      <c r="A13" s="2">
        <v>46085</v>
      </c>
      <c r="B13" s="1" t="s">
        <v>90</v>
      </c>
      <c r="C13" s="1">
        <v>1</v>
      </c>
    </row>
    <row r="14" spans="1:3" ht="15.75" customHeight="1" x14ac:dyDescent="0.3">
      <c r="A14" s="2">
        <v>46086</v>
      </c>
      <c r="B14" s="1" t="s">
        <v>12</v>
      </c>
      <c r="C14" s="1">
        <v>1.18E-2</v>
      </c>
    </row>
    <row r="15" spans="1:3" ht="15.75" customHeight="1" x14ac:dyDescent="0.3">
      <c r="A15" s="2">
        <v>46086</v>
      </c>
      <c r="B15" s="1" t="s">
        <v>80</v>
      </c>
      <c r="C15" s="1">
        <v>1.0900000000000001</v>
      </c>
    </row>
    <row r="16" spans="1:3" ht="15.75" customHeight="1" x14ac:dyDescent="0.3">
      <c r="A16" s="2">
        <v>46086</v>
      </c>
      <c r="B16" s="1" t="s">
        <v>90</v>
      </c>
      <c r="C16" s="1">
        <v>1</v>
      </c>
    </row>
    <row r="17" spans="1:3" ht="15.75" customHeight="1" x14ac:dyDescent="0.3">
      <c r="A17" s="2">
        <v>46087</v>
      </c>
      <c r="B17" s="1" t="s">
        <v>12</v>
      </c>
      <c r="C17" s="1">
        <v>1.1900000000000001E-2</v>
      </c>
    </row>
    <row r="18" spans="1:3" ht="15.75" customHeight="1" x14ac:dyDescent="0.3">
      <c r="A18" s="2">
        <v>46087</v>
      </c>
      <c r="B18" s="1" t="s">
        <v>80</v>
      </c>
      <c r="C18" s="1">
        <v>1.08</v>
      </c>
    </row>
    <row r="19" spans="1:3" ht="15.75" customHeight="1" x14ac:dyDescent="0.3">
      <c r="A19" s="2">
        <v>46087</v>
      </c>
      <c r="B19" s="1" t="s">
        <v>90</v>
      </c>
      <c r="C19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/>
  </sheetViews>
  <sheetFormatPr defaultColWidth="12.61328125" defaultRowHeight="15.75" customHeight="1" x14ac:dyDescent="0.3"/>
  <sheetData>
    <row r="1" spans="1:6" ht="12.45" x14ac:dyDescent="0.3">
      <c r="A1" s="1" t="s">
        <v>107</v>
      </c>
      <c r="B1" s="1" t="s">
        <v>2</v>
      </c>
      <c r="C1" s="1" t="s">
        <v>101</v>
      </c>
      <c r="D1" s="1" t="s">
        <v>108</v>
      </c>
      <c r="E1" s="1" t="s">
        <v>109</v>
      </c>
      <c r="F1" s="1" t="s">
        <v>110</v>
      </c>
    </row>
    <row r="2" spans="1:6" ht="12.45" x14ac:dyDescent="0.3">
      <c r="A2" s="1" t="s">
        <v>116</v>
      </c>
      <c r="B2" s="1" t="s">
        <v>34</v>
      </c>
      <c r="C2" s="1" t="str">
        <f t="shared" ref="C2:C6" si="0">UPPER(TRIM(B2))</f>
        <v>ALPHA MART</v>
      </c>
      <c r="D2" s="1" t="s">
        <v>117</v>
      </c>
      <c r="E2" s="1" t="s">
        <v>118</v>
      </c>
      <c r="F2" s="1" t="s">
        <v>15</v>
      </c>
    </row>
    <row r="3" spans="1:6" ht="18.75" customHeight="1" x14ac:dyDescent="0.3">
      <c r="A3" s="1" t="s">
        <v>119</v>
      </c>
      <c r="B3" s="1" t="s">
        <v>48</v>
      </c>
      <c r="C3" s="1" t="str">
        <f t="shared" si="0"/>
        <v>BETA STORES</v>
      </c>
      <c r="D3" s="1" t="s">
        <v>120</v>
      </c>
      <c r="E3" s="1" t="s">
        <v>121</v>
      </c>
      <c r="F3" s="1" t="s">
        <v>15</v>
      </c>
    </row>
    <row r="4" spans="1:6" ht="12.45" x14ac:dyDescent="0.3">
      <c r="A4" s="1" t="s">
        <v>122</v>
      </c>
      <c r="B4" s="1" t="s">
        <v>79</v>
      </c>
      <c r="C4" s="1" t="str">
        <f t="shared" si="0"/>
        <v>CITY PHARMA</v>
      </c>
      <c r="D4" s="1" t="s">
        <v>123</v>
      </c>
      <c r="E4" s="1" t="s">
        <v>124</v>
      </c>
      <c r="F4" s="1" t="s">
        <v>81</v>
      </c>
    </row>
    <row r="5" spans="1:6" ht="12.45" x14ac:dyDescent="0.3">
      <c r="A5" s="1" t="s">
        <v>125</v>
      </c>
      <c r="B5" s="1" t="s">
        <v>93</v>
      </c>
      <c r="C5" s="1" t="str">
        <f t="shared" si="0"/>
        <v>DELTA TRAVELS</v>
      </c>
      <c r="D5" s="1" t="s">
        <v>126</v>
      </c>
      <c r="E5" s="1" t="s">
        <v>127</v>
      </c>
      <c r="F5" s="1" t="s">
        <v>95</v>
      </c>
    </row>
    <row r="6" spans="1:6" ht="12.45" x14ac:dyDescent="0.3">
      <c r="A6" s="1" t="s">
        <v>128</v>
      </c>
      <c r="B6" s="1" t="s">
        <v>83</v>
      </c>
      <c r="C6" s="1" t="str">
        <f t="shared" si="0"/>
        <v>ECO HOME</v>
      </c>
      <c r="D6" s="1" t="s">
        <v>129</v>
      </c>
      <c r="E6" s="1" t="s">
        <v>130</v>
      </c>
      <c r="F6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transactions_raw</vt:lpstr>
      <vt:lpstr>cleaned_transactions</vt:lpstr>
      <vt:lpstr>exchange_rates</vt:lpstr>
      <vt:lpstr>merchant_master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Jaisimha</cp:lastModifiedBy>
  <dcterms:modified xsi:type="dcterms:W3CDTF">2026-05-09T01:25:52Z</dcterms:modified>
</cp:coreProperties>
</file>